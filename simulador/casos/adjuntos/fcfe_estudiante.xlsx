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ELL\Desktop\JULIO A DICIEMBRE 2026\VALORACIÓN DE EMPRESAS\"/>
    </mc:Choice>
  </mc:AlternateContent>
  <xr:revisionPtr revIDLastSave="0" documentId="8_{64BE481C-AA28-49CC-90BF-89FEA75F5570}" xr6:coauthVersionLast="47" xr6:coauthVersionMax="47" xr10:uidLastSave="{00000000-0000-0000-0000-000000000000}"/>
  <bookViews>
    <workbookView xWindow="-110" yWindow="-110" windowWidth="19420" windowHeight="11500" firstSheet="6" activeTab="9" xr2:uid="{00000000-000D-0000-FFFF-FFFF00000000}"/>
  </bookViews>
  <sheets>
    <sheet name="1. Portada" sheetId="1" r:id="rId1"/>
    <sheet name="2. Caso empresarial" sheetId="2" r:id="rId2"/>
    <sheet name="3. Documento 1 - Resultados" sheetId="3" r:id="rId3"/>
    <sheet name="4. Documento 2 - Operación" sheetId="4" r:id="rId4"/>
    <sheet name="5. Documento 3 - Deuda" sheetId="5" r:id="rId5"/>
    <sheet name="6. Paso 1 - FCFE desde UN" sheetId="6" r:id="rId6"/>
    <sheet name="7. Paso 2 - FCFE desde FCFF" sheetId="7" r:id="rId7"/>
    <sheet name="8. Interpretación" sheetId="8" r:id="rId8"/>
    <sheet name="9. Análisis de escenarios" sheetId="9" r:id="rId9"/>
    <sheet name="10. Autoevaluación" sheetId="10" r:id="rId10"/>
  </sheet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3" i="9" l="1"/>
  <c r="C32" i="9"/>
  <c r="I17" i="9"/>
  <c r="I16" i="9"/>
  <c r="I15" i="9"/>
  <c r="I14" i="9"/>
  <c r="D29" i="7"/>
  <c r="D28" i="7"/>
  <c r="E23" i="7"/>
  <c r="F19" i="7"/>
  <c r="F18" i="7"/>
  <c r="F17" i="7"/>
  <c r="F16" i="7"/>
  <c r="F15" i="7"/>
  <c r="E24" i="6"/>
  <c r="F21" i="6"/>
  <c r="F20" i="6"/>
  <c r="F19" i="6"/>
  <c r="F18" i="6"/>
  <c r="F17" i="6"/>
  <c r="F16" i="6"/>
  <c r="F15" i="6"/>
  <c r="F23" i="5"/>
  <c r="F22" i="5"/>
  <c r="F21" i="5"/>
  <c r="B16" i="5"/>
  <c r="F26" i="4"/>
  <c r="F25" i="4"/>
  <c r="F24" i="4"/>
  <c r="F23" i="4"/>
  <c r="F32" i="3"/>
  <c r="F31" i="3"/>
  <c r="F30" i="3"/>
</calcChain>
</file>

<file path=xl/sharedStrings.xml><?xml version="1.0" encoding="utf-8"?>
<sst xmlns="http://schemas.openxmlformats.org/spreadsheetml/2006/main" count="314" uniqueCount="209">
  <si>
    <t>UNIDAD 4 · FLUJO DE CAJA LIBRE PARA LOS ACCIONISTAS (FCFE)</t>
  </si>
  <si>
    <t>CASO INTEGRADOR: INDUSTRIA TUNGURAHUA S.A.</t>
  </si>
  <si>
    <t>Workbook PRO para que el estudiante determine el efectivo disponible exclusivamente para los accionistas, considerando utilidad neta, partidas sin salida de efectivo, inversiones, capital de trabajo y financiamiento.</t>
  </si>
  <si>
    <t>DATOS DEL ESTUDIANTE</t>
  </si>
  <si>
    <t>Nombres y apellidos</t>
  </si>
  <si>
    <t>Curso</t>
  </si>
  <si>
    <t>Paralelo</t>
  </si>
  <si>
    <t>Docente</t>
  </si>
  <si>
    <t>Fecha</t>
  </si>
  <si>
    <t>RUTA DE APRENDIZAJE</t>
  </si>
  <si>
    <t>Paso 1</t>
  </si>
  <si>
    <t>Obtener la utilidad neta</t>
  </si>
  <si>
    <t>Paso 2</t>
  </si>
  <si>
    <t>Identificar depreciaciones y amortizaciones</t>
  </si>
  <si>
    <t>Paso 3</t>
  </si>
  <si>
    <t>Determinar CAPEX y variación del capital de trabajo</t>
  </si>
  <si>
    <t>Paso 4</t>
  </si>
  <si>
    <t>Identificar deuda nueva y amortización de deuda</t>
  </si>
  <si>
    <t>Paso 5</t>
  </si>
  <si>
    <t>Calcular la variación neta de deuda</t>
  </si>
  <si>
    <t>Paso 6</t>
  </si>
  <si>
    <t>Aplicar la fórmula del FCFE</t>
  </si>
  <si>
    <t>Paso 7</t>
  </si>
  <si>
    <t>Comprobar el FCFE a partir del FCFF</t>
  </si>
  <si>
    <t>Paso 8</t>
  </si>
  <si>
    <t>Interpretar el efectivo disponible para accionistas</t>
  </si>
  <si>
    <t>CASO EMPRESARIAL Y DOCUMENTOS DE RESPALDO</t>
  </si>
  <si>
    <t>CONTEXTO DEL CASO</t>
  </si>
  <si>
    <t>Industria Tungurahua S.A. desea conocer cuánto efectivo queda disponible para sus accionistas después de cubrir las operaciones, impuestos, inversiones y compromisos relacionados con la deuda. El análisis continuará utilizando la misma información empleada en los ejercicios de FCFF y Flujo de Caja Residual.</t>
  </si>
  <si>
    <t>OBJETIVO DE APRENDIZAJE</t>
  </si>
  <si>
    <t>Calcular e interpretar el Flujo de Caja Libre para los Accionistas (FCFE) mediante dos rutas: a partir de la utilidad neta y a partir del FCFF.</t>
  </si>
  <si>
    <t>DOCUMENTOS DISPONIBLES</t>
  </si>
  <si>
    <t>Documento</t>
  </si>
  <si>
    <t>Contenido</t>
  </si>
  <si>
    <t>Uso en el ejercicio</t>
  </si>
  <si>
    <t>Documento 1</t>
  </si>
  <si>
    <t>Estado de Resultados</t>
  </si>
  <si>
    <t>Obtener utilidad neta e intereses.</t>
  </si>
  <si>
    <t>Documento 2</t>
  </si>
  <si>
    <t>Información operativa</t>
  </si>
  <si>
    <t>Depreciaciones, amortizaciones, CAPEX y ΔCT.</t>
  </si>
  <si>
    <t>Documento 3</t>
  </si>
  <si>
    <t>Informe de financiamiento</t>
  </si>
  <si>
    <t>Deuda nueva y amortización de deuda.</t>
  </si>
  <si>
    <t>Documento 4</t>
  </si>
  <si>
    <t>Resultado del FCFF</t>
  </si>
  <si>
    <t>Comprobar el FCFE mediante una segunda ruta.</t>
  </si>
  <si>
    <t>INSTRUCCIONES</t>
  </si>
  <si>
    <t>1. Lea cada documento antes de calcular.
2. Revise la fórmula en texto antes de ingresar valores.
3. Complete únicamente las celdas amarillas.
4. Escriba la operación utilizada, no solo el resultado.
5. Compare los resultados obtenidos por las dos rutas.
6. Finalice con una interpretación financiera.</t>
  </si>
  <si>
    <t>DOCUMENTO 1 · ESTADO DE RESULTADOS 2025</t>
  </si>
  <si>
    <t>📘 RECORDATORIO</t>
  </si>
  <si>
    <t>La utilidad neta ya considera los intereses y el impuesto. Por ello puede utilizarse como punto de partida para calcular el FCFE.
FÓRMULA EN TEXTO:
Utilidad Neta = EBIT − Intereses − Impuesto</t>
  </si>
  <si>
    <t>ESTADO DE RESULTADOS</t>
  </si>
  <si>
    <t>Concepto</t>
  </si>
  <si>
    <t>Operación</t>
  </si>
  <si>
    <t>Valor (USD)</t>
  </si>
  <si>
    <t>Uso en FCFE</t>
  </si>
  <si>
    <t>Ventas netas</t>
  </si>
  <si>
    <t>Contexto</t>
  </si>
  <si>
    <t>(-) Costo de ventas</t>
  </si>
  <si>
    <t>(-) Gastos administrativos</t>
  </si>
  <si>
    <t>(-) Gastos de ventas</t>
  </si>
  <si>
    <t>(-) Depreciaciones</t>
  </si>
  <si>
    <t>Se suman nuevamente</t>
  </si>
  <si>
    <t>(-) Amortizaciones</t>
  </si>
  <si>
    <t>EBIT</t>
  </si>
  <si>
    <t>Base operativa</t>
  </si>
  <si>
    <t>(-) Intereses</t>
  </si>
  <si>
    <t>Ya incluidos en utilidad neta</t>
  </si>
  <si>
    <t>Utilidad antes de impuestos</t>
  </si>
  <si>
    <t>(-) Impuesto a la renta</t>
  </si>
  <si>
    <t>Ya incluido en utilidad neta</t>
  </si>
  <si>
    <t>Utilidad neta</t>
  </si>
  <si>
    <t>Punto de partida</t>
  </si>
  <si>
    <t>ACTIVIDAD DEL ESTUDIANTE</t>
  </si>
  <si>
    <t>Paso</t>
  </si>
  <si>
    <t>Respuesta</t>
  </si>
  <si>
    <t>Resultado técnico</t>
  </si>
  <si>
    <t>Estado</t>
  </si>
  <si>
    <t>Impuesto a la renta</t>
  </si>
  <si>
    <t>DOCUMENTO 2 · INFORMACIÓN OPERATIVA COMPLEMENTARIA</t>
  </si>
  <si>
    <t>Las depreciaciones y amortizaciones se suman porque no representan salida de efectivo. El CAPEX y el aumento del capital de trabajo se restan porque consumen efectivo.
FÓRMULA PARCIAL EN TEXTO:
Utilidad neta + Depreciaciones + Amortizaciones − CAPEX − ΔCT</t>
  </si>
  <si>
    <t>DATOS OPERATIVOS</t>
  </si>
  <si>
    <t>Tratamiento</t>
  </si>
  <si>
    <t>Razón</t>
  </si>
  <si>
    <t>Fuente</t>
  </si>
  <si>
    <t>Depreciaciones</t>
  </si>
  <si>
    <t>Gasto sin salida de efectivo.</t>
  </si>
  <si>
    <t>Informe contable</t>
  </si>
  <si>
    <t>Amortizaciones</t>
  </si>
  <si>
    <t>CAPEX</t>
  </si>
  <si>
    <t>Inversión en activos de largo plazo.</t>
  </si>
  <si>
    <t>Activos fijos</t>
  </si>
  <si>
    <t>Δ Capital de Trabajo</t>
  </si>
  <si>
    <t>Aumento que consume efectivo.</t>
  </si>
  <si>
    <t>Balance operativo</t>
  </si>
  <si>
    <t>Total ajuste operativo</t>
  </si>
  <si>
    <t>DOCUMENTO 3 · INFORME DE FINANCIAMIENTO</t>
  </si>
  <si>
    <t>La deuda nueva genera una entrada de efectivo y se suma. La amortización del capital de la deuda representa una salida de efectivo y se resta.
FÓRMULA EN TEXTO:
Variación neta de deuda = Deuda nueva − Amortización de deuda</t>
  </si>
  <si>
    <t>INFORME DE TESORERÍA Y FINANCIAMIENTO</t>
  </si>
  <si>
    <t>Explicación</t>
  </si>
  <si>
    <t>Nueva deuda recibida</t>
  </si>
  <si>
    <t>Entrada de efectivo por financiamiento.</t>
  </si>
  <si>
    <t>Contrato bancario</t>
  </si>
  <si>
    <t>Amortización de capital</t>
  </si>
  <si>
    <t>Pago del principal de la deuda.</t>
  </si>
  <si>
    <t>Cronograma de deuda</t>
  </si>
  <si>
    <t>Variación neta de deuda</t>
  </si>
  <si>
    <t>Deuda nueva menos amortización.</t>
  </si>
  <si>
    <t>Cálculo</t>
  </si>
  <si>
    <t>Deuda nueva</t>
  </si>
  <si>
    <t>Amortización de deuda</t>
  </si>
  <si>
    <t>ANÁLISIS</t>
  </si>
  <si>
    <t>Pregunta</t>
  </si>
  <si>
    <t>Respuesta del estudiante</t>
  </si>
  <si>
    <t>Orientación</t>
  </si>
  <si>
    <t>¿Por qué la deuda nueva aumenta el FCFE?</t>
  </si>
  <si>
    <t>Porque genera una entrada de efectivo disponible.</t>
  </si>
  <si>
    <t>¿Por qué la amortización reduce el FCFE?</t>
  </si>
  <si>
    <t>Porque exige pagar el principal de la deuda.</t>
  </si>
  <si>
    <t>PASO 1 · CALCULAR EL FCFE DESDE LA UTILIDAD NETA</t>
  </si>
  <si>
    <t>📐 FÓRMULA EN TEXTO</t>
  </si>
  <si>
    <t>FCFE = Utilidad neta + Depreciaciones + Amortizaciones − CAPEX − Δ Capital de Trabajo + Deuda nueva − Amortización de deuda
El resultado representa el efectivo potencialmente disponible para los accionistas.</t>
  </si>
  <si>
    <t>ROMPECABEZAS FINANCIERO</t>
  </si>
  <si>
    <t>Orden</t>
  </si>
  <si>
    <t>Componente</t>
  </si>
  <si>
    <t>Signo</t>
  </si>
  <si>
    <t>+</t>
  </si>
  <si>
    <t>−</t>
  </si>
  <si>
    <t>Resultado</t>
  </si>
  <si>
    <t>Operación completa</t>
  </si>
  <si>
    <t>Interpretación</t>
  </si>
  <si>
    <t>FCFE</t>
  </si>
  <si>
    <t>Efectivo disponible para accionistas</t>
  </si>
  <si>
    <t>PASO 2 · COMPROBAR EL FCFE A PARTIR DEL FCFF</t>
  </si>
  <si>
    <t>FCFE = FCFF − Intereses × (1 − T) + Deuda nueva − Amortización de deuda
Esta segunda ruta debe producir el mismo resultado que el cálculo a partir de la utilidad neta.</t>
  </si>
  <si>
    <t>DATOS PARA LA COMPROBACIÓN</t>
  </si>
  <si>
    <t>Origen</t>
  </si>
  <si>
    <t>FCFF</t>
  </si>
  <si>
    <t>Ejercicio anterior</t>
  </si>
  <si>
    <t>Intereses</t>
  </si>
  <si>
    <t>Tasa de impuesto</t>
  </si>
  <si>
    <t>Intereses después de impuestos</t>
  </si>
  <si>
    <t>Intereses × (1−T)</t>
  </si>
  <si>
    <t>Comparación</t>
  </si>
  <si>
    <t>FCFE desde FCFF</t>
  </si>
  <si>
    <t>543.750 − 112.500 + 150.000</t>
  </si>
  <si>
    <t>Debe coincidir con el FCFE desde utilidad neta</t>
  </si>
  <si>
    <t>COMPARACIÓN DE RUTAS</t>
  </si>
  <si>
    <t>Ruta</t>
  </si>
  <si>
    <t>Coincidencia</t>
  </si>
  <si>
    <t>Desde utilidad neta</t>
  </si>
  <si>
    <t>Desde FCFF</t>
  </si>
  <si>
    <t>INTERPRETACIÓN DEL FCFE</t>
  </si>
  <si>
    <t>Un FCFE positivo representa efectivo potencialmente disponible para los accionistas. No es igual al dividendo: la Junta decide cuánto distribuir y cuánto retener para futuras inversiones.</t>
  </si>
  <si>
    <t>RESULTADO DEL CASO</t>
  </si>
  <si>
    <t>Lectura financiera</t>
  </si>
  <si>
    <t>Beneficio después de intereses e impuestos.</t>
  </si>
  <si>
    <t>Financiamiento adicional neto.</t>
  </si>
  <si>
    <t>Efectivo potencialmente disponible para accionistas.</t>
  </si>
  <si>
    <t>PREGUNTAS DE ANÁLISIS</t>
  </si>
  <si>
    <t>¿Qué significa que el FCFE sea positivo?</t>
  </si>
  <si>
    <t>¿El FCFE debe distribuirse completamente como dividendos?</t>
  </si>
  <si>
    <t>¿Qué efecto tiene la deuda nueva sobre el FCFE?</t>
  </si>
  <si>
    <t>¿Qué efecto tiene la amortización de deuda?</t>
  </si>
  <si>
    <t>¿Qué diferencia existe entre FCFF y FCFE?</t>
  </si>
  <si>
    <t>Conclusión para los accionistas</t>
  </si>
  <si>
    <t>ANÁLISIS DE ESCENARIOS DEL FCFE</t>
  </si>
  <si>
    <t>El FCFE cambia cuando varían la utilidad neta, el CAPEX, el capital de trabajo o la política de deuda. El análisis de escenarios ayuda a comprender la sensibilidad del efectivo disponible para accionistas.</t>
  </si>
  <si>
    <t>ESCENARIOS PREDEFINIDOS</t>
  </si>
  <si>
    <t>Escenario</t>
  </si>
  <si>
    <t>Dep.</t>
  </si>
  <si>
    <t>Amort.</t>
  </si>
  <si>
    <t>ΔCT</t>
  </si>
  <si>
    <t>Amort. deuda</t>
  </si>
  <si>
    <t>Base</t>
  </si>
  <si>
    <t>CAPEX mayor</t>
  </si>
  <si>
    <t>Menor deuda nueva</t>
  </si>
  <si>
    <t>Mayor utilidad neta</t>
  </si>
  <si>
    <t>ESCENARIO DEL ESTUDIANTE</t>
  </si>
  <si>
    <t>Variable</t>
  </si>
  <si>
    <t>Caso base</t>
  </si>
  <si>
    <t>Escenario del estudiante</t>
  </si>
  <si>
    <t>Indicador</t>
  </si>
  <si>
    <t>Fórmula</t>
  </si>
  <si>
    <t>UN + Dep + Amort − CAPEX − ΔCT + Deuda nueva − Amort. deuda</t>
  </si>
  <si>
    <t>Positivo / Cero / Negativo</t>
  </si>
  <si>
    <t>AUTOEVALUACIÓN Y CIERRE DEL CASO</t>
  </si>
  <si>
    <t>📘 IDEA CLAVE</t>
  </si>
  <si>
    <t>El FCFE mide el efectivo disponible exclusivamente para los accionistas y se obtiene después de considerar operaciones, inversiones y movimientos del principal de la deuda.</t>
  </si>
  <si>
    <t>AUTOEVALUACIÓN</t>
  </si>
  <si>
    <t>Criterio</t>
  </si>
  <si>
    <t>Sí</t>
  </si>
  <si>
    <t>En proceso</t>
  </si>
  <si>
    <t>No</t>
  </si>
  <si>
    <t>Identifiqué correctamente la utilidad neta</t>
  </si>
  <si>
    <t>Comprendí por qué se suman depreciaciones y amortizaciones</t>
  </si>
  <si>
    <t>Distinguí deuda nueva y amortización de deuda</t>
  </si>
  <si>
    <t>Calculé el FCFE por las dos rutas</t>
  </si>
  <si>
    <t>Comprendí la diferencia entre FCFE y dividendos</t>
  </si>
  <si>
    <t>Puedo explicar la diferencia entre FCFF y FCFE</t>
  </si>
  <si>
    <t>REFLEXIÓN FINAL</t>
  </si>
  <si>
    <t>¿Qué fue lo más importante que aprendió?</t>
  </si>
  <si>
    <t>¿Qué cálculo necesita reforzar?</t>
  </si>
  <si>
    <t>¿Cómo utilizaría el FCFE para analizar una empresa?</t>
  </si>
  <si>
    <t>RESULTADO TÉCNICO DEL CASO</t>
  </si>
  <si>
    <t>Comprobación</t>
  </si>
  <si>
    <t>Coincide por las dos rutas</t>
  </si>
  <si>
    <t>El modelo es consistente.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</si>
</sst>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7">
    <font>
      <sz val="11"/>
      <name val="Carlito"/>
    </font>
    <font>
      <b/>
      <sz val="16"/>
      <color rgb="FFFFFFFF"/>
      <name val="Carlito"/>
    </font>
    <font>
      <b/>
      <sz val="18"/>
      <color rgb="FF173B5F"/>
      <name val="Carlito"/>
    </font>
    <font>
      <b/>
      <sz val="11"/>
      <color rgb="FFFFFFFF"/>
      <name val="Carlito"/>
    </font>
    <font>
      <b/>
      <sz val="11"/>
      <color rgb="FF173B5F"/>
      <name val="Carlito"/>
    </font>
    <font>
      <sz val="11"/>
      <color rgb="FF0000FF"/>
      <name val="Carlito"/>
    </font>
    <font>
      <sz val="11"/>
      <color rgb="FF173B5F"/>
      <name val="Carlito"/>
    </font>
  </fonts>
  <fills count="9">
    <fill>
      <patternFill patternType="none"/>
    </fill>
    <fill>
      <patternFill patternType="gray125"/>
    </fill>
    <fill>
      <patternFill patternType="solid">
        <fgColor rgb="FF173B5F"/>
      </patternFill>
    </fill>
    <fill>
      <patternFill patternType="solid">
        <fgColor rgb="FFD9EAF7"/>
      </patternFill>
    </fill>
    <fill>
      <patternFill patternType="solid">
        <fgColor rgb="FFEEF5FA"/>
      </patternFill>
    </fill>
    <fill>
      <patternFill patternType="solid">
        <fgColor rgb="FFFFF2CC"/>
      </patternFill>
    </fill>
    <fill>
      <patternFill patternType="solid">
        <fgColor rgb="FFEEE7FF"/>
      </patternFill>
    </fill>
    <fill>
      <patternFill patternType="solid">
        <fgColor rgb="FF2F6F9F"/>
      </patternFill>
    </fill>
    <fill>
      <patternFill patternType="solid">
        <fgColor rgb="FFE2F0D9"/>
      </patternFill>
    </fill>
  </fills>
  <borders count="1">
    <border>
      <left/>
      <right/>
      <top/>
      <bottom/>
      <diagonal/>
    </border>
  </borders>
  <cellStyleXfs count="1">
    <xf numFmtId="0" fontId="0" fillId="0" borderId="0"/>
  </cellStyleXfs>
  <cellXfs count="24">
    <xf numFmtId="0" fontId="0" fillId="0" borderId="0" xfId="0"/>
    <xf numFmtId="0" fontId="3" fillId="2" borderId="0" xfId="0" applyNumberFormat="1" applyFont="1" applyFill="1" applyBorder="1"/>
    <xf numFmtId="0" fontId="4" fillId="3" borderId="0" xfId="0" applyNumberFormat="1" applyFont="1" applyFill="1" applyBorder="1"/>
    <xf numFmtId="0" fontId="5" fillId="5" borderId="0" xfId="0" applyNumberFormat="1" applyFont="1" applyFill="1" applyBorder="1"/>
    <xf numFmtId="0" fontId="4" fillId="6" borderId="0" xfId="0" applyNumberFormat="1" applyFont="1" applyFill="1" applyBorder="1"/>
    <xf numFmtId="0" fontId="0" fillId="0" borderId="0" xfId="0" applyNumberFormat="1" applyFont="1" applyFill="1" applyBorder="1" applyAlignment="1">
      <alignment wrapText="1"/>
    </xf>
    <xf numFmtId="0" fontId="3" fillId="7" borderId="0" xfId="0" applyNumberFormat="1" applyFont="1" applyFill="1" applyBorder="1" applyAlignment="1">
      <alignment horizontal="center" vertical="center" wrapText="1"/>
    </xf>
    <xf numFmtId="0" fontId="0" fillId="0" borderId="0" xfId="0" applyNumberFormat="1" applyFont="1" applyFill="1" applyBorder="1"/>
    <xf numFmtId="164" fontId="0" fillId="0" borderId="0" xfId="0" applyNumberFormat="1" applyFont="1" applyFill="1" applyBorder="1"/>
    <xf numFmtId="0" fontId="4" fillId="8" borderId="0" xfId="0" applyNumberFormat="1" applyFont="1" applyFill="1" applyBorder="1"/>
    <xf numFmtId="164" fontId="4" fillId="8" borderId="0" xfId="0" applyNumberFormat="1" applyFont="1" applyFill="1" applyBorder="1"/>
    <xf numFmtId="164" fontId="5" fillId="5" borderId="0" xfId="0" applyNumberFormat="1" applyFont="1" applyFill="1" applyBorder="1"/>
    <xf numFmtId="0" fontId="4" fillId="8" borderId="0" xfId="0" applyNumberFormat="1" applyFont="1" applyFill="1" applyBorder="1" applyAlignment="1">
      <alignment wrapText="1"/>
    </xf>
    <xf numFmtId="0" fontId="5" fillId="5" borderId="0" xfId="0" applyNumberFormat="1" applyFont="1" applyFill="1" applyBorder="1" applyAlignment="1">
      <alignment wrapText="1"/>
    </xf>
    <xf numFmtId="10" fontId="5" fillId="5" borderId="0" xfId="0" applyNumberFormat="1" applyFont="1" applyFill="1" applyBorder="1"/>
    <xf numFmtId="10" fontId="0" fillId="0" borderId="0" xfId="0" applyNumberFormat="1" applyFont="1" applyFill="1" applyBorder="1"/>
    <xf numFmtId="0" fontId="1" fillId="2" borderId="0" xfId="0" applyNumberFormat="1" applyFont="1" applyFill="1" applyBorder="1" applyAlignment="1">
      <alignment horizontal="center" vertical="center"/>
    </xf>
    <xf numFmtId="0" fontId="2" fillId="3" borderId="0" xfId="0" applyNumberFormat="1" applyFont="1" applyFill="1" applyBorder="1" applyAlignment="1">
      <alignment horizontal="center" vertical="center"/>
    </xf>
    <xf numFmtId="0" fontId="0" fillId="4" borderId="0" xfId="0" applyNumberFormat="1" applyFont="1" applyFill="1" applyBorder="1" applyAlignment="1">
      <alignment horizontal="center" vertical="center" wrapText="1"/>
    </xf>
    <xf numFmtId="0" fontId="3" fillId="2" borderId="0" xfId="0" applyNumberFormat="1" applyFont="1" applyFill="1" applyBorder="1" applyAlignment="1">
      <alignment horizontal="left" vertical="center"/>
    </xf>
    <xf numFmtId="0" fontId="4" fillId="6" borderId="0" xfId="0" applyNumberFormat="1" applyFont="1" applyFill="1" applyBorder="1"/>
    <xf numFmtId="0" fontId="6" fillId="4" borderId="0" xfId="0" applyNumberFormat="1" applyFont="1" applyFill="1" applyBorder="1" applyAlignment="1">
      <alignment vertical="top" wrapText="1"/>
    </xf>
    <xf numFmtId="0" fontId="0" fillId="3" borderId="0" xfId="0" applyNumberFormat="1" applyFont="1" applyFill="1" applyBorder="1" applyAlignment="1">
      <alignment vertical="center" wrapText="1"/>
    </xf>
    <xf numFmtId="0" fontId="0" fillId="4" borderId="0" xfId="0" applyNumberFormat="1" applyFont="1" applyFill="1" applyBorder="1" applyAlignment="1">
      <alignment vertical="top" wrapText="1"/>
    </xf>
  </cellXfs>
  <cellStyles count="1">
    <cellStyle name="Normal" xfId="0" builtinId="0"/>
  </cellStyles>
  <dxfs count="2">
    <dxf>
      <font>
        <b/>
        <color rgb="FF9C0006"/>
      </font>
      <fill>
        <patternFill patternType="solid">
          <bgColor rgb="FFFCE4D6"/>
        </patternFill>
      </fill>
    </dxf>
    <dxf>
      <font>
        <b/>
        <color rgb="FF006100"/>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topLeftCell="A22" workbookViewId="0">
      <selection sqref="A1:H2"/>
    </sheetView>
  </sheetViews>
  <sheetFormatPr baseColWidth="10" defaultColWidth="8.6640625" defaultRowHeight="14"/>
  <cols>
    <col min="1" max="1" width="28" customWidth="1"/>
    <col min="2" max="2" width="70" customWidth="1"/>
    <col min="3" max="8" width="14" customWidth="1"/>
  </cols>
  <sheetData>
    <row r="1" spans="1:8">
      <c r="A1" s="16" t="s">
        <v>0</v>
      </c>
      <c r="B1" s="16"/>
      <c r="C1" s="16"/>
      <c r="D1" s="16"/>
      <c r="E1" s="16"/>
      <c r="F1" s="16"/>
      <c r="G1" s="16"/>
      <c r="H1" s="16"/>
    </row>
    <row r="2" spans="1:8">
      <c r="A2" s="16"/>
      <c r="B2" s="16"/>
      <c r="C2" s="16"/>
      <c r="D2" s="16"/>
      <c r="E2" s="16"/>
      <c r="F2" s="16"/>
      <c r="G2" s="16"/>
      <c r="H2" s="16"/>
    </row>
    <row r="4" spans="1:8">
      <c r="A4" s="17" t="s">
        <v>1</v>
      </c>
      <c r="B4" s="17"/>
      <c r="C4" s="17"/>
      <c r="D4" s="17"/>
      <c r="E4" s="17"/>
      <c r="F4" s="17"/>
      <c r="G4" s="17"/>
      <c r="H4" s="17"/>
    </row>
    <row r="5" spans="1:8">
      <c r="A5" s="17"/>
      <c r="B5" s="17"/>
      <c r="C5" s="17"/>
      <c r="D5" s="17"/>
      <c r="E5" s="17"/>
      <c r="F5" s="17"/>
      <c r="G5" s="17"/>
      <c r="H5" s="17"/>
    </row>
    <row r="6" spans="1:8">
      <c r="A6" s="17"/>
      <c r="B6" s="17"/>
      <c r="C6" s="17"/>
      <c r="D6" s="17"/>
      <c r="E6" s="17"/>
      <c r="F6" s="17"/>
      <c r="G6" s="17"/>
      <c r="H6" s="17"/>
    </row>
    <row r="8" spans="1:8">
      <c r="A8" s="18" t="s">
        <v>2</v>
      </c>
      <c r="B8" s="18"/>
      <c r="C8" s="18"/>
      <c r="D8" s="18"/>
      <c r="E8" s="18"/>
      <c r="F8" s="18"/>
      <c r="G8" s="18"/>
      <c r="H8" s="18"/>
    </row>
    <row r="9" spans="1:8">
      <c r="A9" s="18"/>
      <c r="B9" s="18"/>
      <c r="C9" s="18"/>
      <c r="D9" s="18"/>
      <c r="E9" s="18"/>
      <c r="F9" s="18"/>
      <c r="G9" s="18"/>
      <c r="H9" s="18"/>
    </row>
    <row r="10" spans="1:8">
      <c r="A10" s="18"/>
      <c r="B10" s="18"/>
      <c r="C10" s="18"/>
      <c r="D10" s="18"/>
      <c r="E10" s="18"/>
      <c r="F10" s="18"/>
      <c r="G10" s="18"/>
      <c r="H10" s="18"/>
    </row>
    <row r="11" spans="1:8">
      <c r="A11" s="18"/>
      <c r="B11" s="18"/>
      <c r="C11" s="18"/>
      <c r="D11" s="18"/>
      <c r="E11" s="18"/>
      <c r="F11" s="18"/>
      <c r="G11" s="18"/>
      <c r="H11" s="18"/>
    </row>
    <row r="14" spans="1:8">
      <c r="A14" s="1" t="s">
        <v>3</v>
      </c>
      <c r="B14" s="1"/>
    </row>
    <row r="15" spans="1:8">
      <c r="A15" s="2" t="s">
        <v>4</v>
      </c>
      <c r="B15" s="3"/>
    </row>
    <row r="16" spans="1:8">
      <c r="A16" s="2" t="s">
        <v>5</v>
      </c>
      <c r="B16" s="3"/>
    </row>
    <row r="17" spans="1:8">
      <c r="A17" s="2" t="s">
        <v>6</v>
      </c>
      <c r="B17" s="3"/>
    </row>
    <row r="18" spans="1:8">
      <c r="A18" s="2" t="s">
        <v>7</v>
      </c>
      <c r="B18" s="3"/>
    </row>
    <row r="19" spans="1:8">
      <c r="A19" s="2" t="s">
        <v>8</v>
      </c>
      <c r="B19" s="3"/>
    </row>
    <row r="22" spans="1:8">
      <c r="A22" s="19" t="s">
        <v>9</v>
      </c>
      <c r="B22" s="19"/>
      <c r="C22" s="19"/>
      <c r="D22" s="19"/>
      <c r="E22" s="19"/>
      <c r="F22" s="19"/>
      <c r="G22" s="19"/>
      <c r="H22" s="19"/>
    </row>
    <row r="23" spans="1:8">
      <c r="A23" s="4" t="s">
        <v>10</v>
      </c>
      <c r="B23" s="5" t="s">
        <v>11</v>
      </c>
    </row>
    <row r="24" spans="1:8">
      <c r="A24" s="4" t="s">
        <v>12</v>
      </c>
      <c r="B24" s="5" t="s">
        <v>13</v>
      </c>
    </row>
    <row r="25" spans="1:8">
      <c r="A25" s="4" t="s">
        <v>14</v>
      </c>
      <c r="B25" s="5" t="s">
        <v>15</v>
      </c>
    </row>
    <row r="26" spans="1:8">
      <c r="A26" s="4" t="s">
        <v>16</v>
      </c>
      <c r="B26" s="5" t="s">
        <v>17</v>
      </c>
    </row>
    <row r="27" spans="1:8">
      <c r="A27" s="4" t="s">
        <v>18</v>
      </c>
      <c r="B27" s="5" t="s">
        <v>19</v>
      </c>
    </row>
    <row r="28" spans="1:8">
      <c r="A28" s="4" t="s">
        <v>20</v>
      </c>
      <c r="B28" s="5" t="s">
        <v>21</v>
      </c>
    </row>
    <row r="29" spans="1:8">
      <c r="A29" s="4" t="s">
        <v>22</v>
      </c>
      <c r="B29" s="5" t="s">
        <v>23</v>
      </c>
    </row>
    <row r="30" spans="1:8">
      <c r="A30" s="4" t="s">
        <v>24</v>
      </c>
      <c r="B30" s="5" t="s">
        <v>25</v>
      </c>
    </row>
  </sheetData>
  <mergeCells count="4">
    <mergeCell ref="A1:H2"/>
    <mergeCell ref="A4:H6"/>
    <mergeCell ref="A8:H11"/>
    <mergeCell ref="A22:H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4"/>
  <sheetViews>
    <sheetView topLeftCell="A19" workbookViewId="0">
      <selection sqref="A1:H2"/>
    </sheetView>
  </sheetViews>
  <sheetFormatPr baseColWidth="10" defaultColWidth="8.6640625" defaultRowHeight="14"/>
  <cols>
    <col min="1" max="1" width="30" customWidth="1"/>
    <col min="2" max="2" width="34" customWidth="1"/>
    <col min="3" max="3" width="72" customWidth="1"/>
    <col min="4" max="8" width="14" customWidth="1"/>
  </cols>
  <sheetData>
    <row r="1" spans="1:8">
      <c r="A1" s="16" t="s">
        <v>26</v>
      </c>
      <c r="B1" s="16"/>
      <c r="C1" s="16"/>
      <c r="D1" s="16"/>
      <c r="E1" s="16"/>
      <c r="F1" s="16"/>
      <c r="G1" s="16"/>
      <c r="H1" s="16"/>
    </row>
    <row r="2" spans="1:8">
      <c r="A2" s="16"/>
      <c r="B2" s="16"/>
      <c r="C2" s="16"/>
      <c r="D2" s="16"/>
      <c r="E2" s="16"/>
      <c r="F2" s="16"/>
      <c r="G2" s="16"/>
      <c r="H2" s="16"/>
    </row>
    <row r="4" spans="1:8">
      <c r="A4" s="20" t="s">
        <v>27</v>
      </c>
      <c r="B4" s="20"/>
      <c r="C4" s="20"/>
      <c r="D4" s="20"/>
      <c r="E4" s="20"/>
      <c r="F4" s="20"/>
      <c r="G4" s="20"/>
      <c r="H4" s="20"/>
    </row>
    <row r="5" spans="1:8">
      <c r="A5" s="21" t="s">
        <v>28</v>
      </c>
      <c r="B5" s="21"/>
      <c r="C5" s="21"/>
      <c r="D5" s="21"/>
      <c r="E5" s="21"/>
      <c r="F5" s="21"/>
      <c r="G5" s="21"/>
      <c r="H5" s="21"/>
    </row>
    <row r="6" spans="1:8">
      <c r="A6" s="21"/>
      <c r="B6" s="21"/>
      <c r="C6" s="21"/>
      <c r="D6" s="21"/>
      <c r="E6" s="21"/>
      <c r="F6" s="21"/>
      <c r="G6" s="21"/>
      <c r="H6" s="21"/>
    </row>
    <row r="7" spans="1:8">
      <c r="A7" s="21"/>
      <c r="B7" s="21"/>
      <c r="C7" s="21"/>
      <c r="D7" s="21"/>
      <c r="E7" s="21"/>
      <c r="F7" s="21"/>
      <c r="G7" s="21"/>
      <c r="H7" s="21"/>
    </row>
    <row r="8" spans="1:8">
      <c r="A8" s="21"/>
      <c r="B8" s="21"/>
      <c r="C8" s="21"/>
      <c r="D8" s="21"/>
      <c r="E8" s="21"/>
      <c r="F8" s="21"/>
      <c r="G8" s="21"/>
      <c r="H8" s="21"/>
    </row>
    <row r="9" spans="1:8">
      <c r="A9" s="21"/>
      <c r="B9" s="21"/>
      <c r="C9" s="21"/>
      <c r="D9" s="21"/>
      <c r="E9" s="21"/>
      <c r="F9" s="21"/>
      <c r="G9" s="21"/>
      <c r="H9" s="21"/>
    </row>
    <row r="11" spans="1:8">
      <c r="A11" s="19" t="s">
        <v>29</v>
      </c>
      <c r="B11" s="19"/>
      <c r="C11" s="19"/>
      <c r="D11" s="19"/>
      <c r="E11" s="19"/>
      <c r="F11" s="19"/>
      <c r="G11" s="19"/>
      <c r="H11" s="19"/>
    </row>
    <row r="12" spans="1:8">
      <c r="A12" s="22" t="s">
        <v>30</v>
      </c>
      <c r="B12" s="22"/>
      <c r="C12" s="22"/>
      <c r="D12" s="22"/>
      <c r="E12" s="22"/>
      <c r="F12" s="22"/>
      <c r="G12" s="22"/>
      <c r="H12" s="22"/>
    </row>
    <row r="13" spans="1:8">
      <c r="A13" s="22"/>
      <c r="B13" s="22"/>
      <c r="C13" s="22"/>
      <c r="D13" s="22"/>
      <c r="E13" s="22"/>
      <c r="F13" s="22"/>
      <c r="G13" s="22"/>
      <c r="H13" s="22"/>
    </row>
    <row r="14" spans="1:8">
      <c r="A14" s="22"/>
      <c r="B14" s="22"/>
      <c r="C14" s="22"/>
      <c r="D14" s="22"/>
      <c r="E14" s="22"/>
      <c r="F14" s="22"/>
      <c r="G14" s="22"/>
      <c r="H14" s="22"/>
    </row>
    <row r="15" spans="1:8">
      <c r="A15" s="22"/>
      <c r="B15" s="22"/>
      <c r="C15" s="22"/>
      <c r="D15" s="22"/>
      <c r="E15" s="22"/>
      <c r="F15" s="22"/>
      <c r="G15" s="22"/>
      <c r="H15" s="22"/>
    </row>
    <row r="17" spans="1:8">
      <c r="A17" s="19" t="s">
        <v>31</v>
      </c>
      <c r="B17" s="19"/>
      <c r="C17" s="19"/>
      <c r="D17" s="19"/>
      <c r="E17" s="19"/>
      <c r="F17" s="19"/>
      <c r="G17" s="19"/>
      <c r="H17" s="19"/>
    </row>
    <row r="18" spans="1:8">
      <c r="A18" s="6" t="s">
        <v>32</v>
      </c>
      <c r="B18" s="6" t="s">
        <v>33</v>
      </c>
      <c r="C18" s="6" t="s">
        <v>34</v>
      </c>
    </row>
    <row r="19" spans="1:8">
      <c r="A19" s="7" t="s">
        <v>35</v>
      </c>
      <c r="B19" s="7" t="s">
        <v>36</v>
      </c>
      <c r="C19" s="5" t="s">
        <v>37</v>
      </c>
    </row>
    <row r="20" spans="1:8">
      <c r="A20" s="7" t="s">
        <v>38</v>
      </c>
      <c r="B20" s="7" t="s">
        <v>39</v>
      </c>
      <c r="C20" s="5" t="s">
        <v>40</v>
      </c>
    </row>
    <row r="21" spans="1:8">
      <c r="A21" s="7" t="s">
        <v>41</v>
      </c>
      <c r="B21" s="7" t="s">
        <v>42</v>
      </c>
      <c r="C21" s="5" t="s">
        <v>43</v>
      </c>
    </row>
    <row r="22" spans="1:8">
      <c r="A22" s="7" t="s">
        <v>44</v>
      </c>
      <c r="B22" s="7" t="s">
        <v>45</v>
      </c>
      <c r="C22" s="5" t="s">
        <v>46</v>
      </c>
    </row>
    <row r="25" spans="1:8">
      <c r="A25" s="19" t="s">
        <v>47</v>
      </c>
      <c r="B25" s="19"/>
      <c r="C25" s="19"/>
      <c r="D25" s="19"/>
      <c r="E25" s="19"/>
      <c r="F25" s="19"/>
      <c r="G25" s="19"/>
      <c r="H25" s="19"/>
    </row>
    <row r="26" spans="1:8">
      <c r="A26" s="23" t="s">
        <v>48</v>
      </c>
      <c r="B26" s="23"/>
      <c r="C26" s="23"/>
      <c r="D26" s="23"/>
      <c r="E26" s="23"/>
      <c r="F26" s="23"/>
      <c r="G26" s="23"/>
      <c r="H26" s="23"/>
    </row>
    <row r="27" spans="1:8">
      <c r="A27" s="23"/>
      <c r="B27" s="23"/>
      <c r="C27" s="23"/>
      <c r="D27" s="23"/>
      <c r="E27" s="23"/>
      <c r="F27" s="23"/>
      <c r="G27" s="23"/>
      <c r="H27" s="23"/>
    </row>
    <row r="28" spans="1:8">
      <c r="A28" s="23"/>
      <c r="B28" s="23"/>
      <c r="C28" s="23"/>
      <c r="D28" s="23"/>
      <c r="E28" s="23"/>
      <c r="F28" s="23"/>
      <c r="G28" s="23"/>
      <c r="H28" s="23"/>
    </row>
    <row r="29" spans="1:8">
      <c r="A29" s="23"/>
      <c r="B29" s="23"/>
      <c r="C29" s="23"/>
      <c r="D29" s="23"/>
      <c r="E29" s="23"/>
      <c r="F29" s="23"/>
      <c r="G29" s="23"/>
      <c r="H29" s="23"/>
    </row>
    <row r="30" spans="1:8">
      <c r="A30" s="23"/>
      <c r="B30" s="23"/>
      <c r="C30" s="23"/>
      <c r="D30" s="23"/>
      <c r="E30" s="23"/>
      <c r="F30" s="23"/>
      <c r="G30" s="23"/>
      <c r="H30" s="23"/>
    </row>
    <row r="31" spans="1:8">
      <c r="A31" s="23"/>
      <c r="B31" s="23"/>
      <c r="C31" s="23"/>
      <c r="D31" s="23"/>
      <c r="E31" s="23"/>
      <c r="F31" s="23"/>
      <c r="G31" s="23"/>
      <c r="H31" s="23"/>
    </row>
    <row r="32" spans="1:8">
      <c r="A32" s="23"/>
      <c r="B32" s="23"/>
      <c r="C32" s="23"/>
      <c r="D32" s="23"/>
      <c r="E32" s="23"/>
      <c r="F32" s="23"/>
      <c r="G32" s="23"/>
      <c r="H32" s="23"/>
    </row>
    <row r="33" spans="1:8">
      <c r="A33" s="23"/>
      <c r="B33" s="23"/>
      <c r="C33" s="23"/>
      <c r="D33" s="23"/>
      <c r="E33" s="23"/>
      <c r="F33" s="23"/>
      <c r="G33" s="23"/>
      <c r="H33" s="23"/>
    </row>
    <row r="34" spans="1:8">
      <c r="A34" s="23"/>
      <c r="B34" s="23"/>
      <c r="C34" s="23"/>
      <c r="D34" s="23"/>
      <c r="E34" s="23"/>
      <c r="F34" s="23"/>
      <c r="G34" s="23"/>
      <c r="H34" s="23"/>
    </row>
  </sheetData>
  <mergeCells count="8">
    <mergeCell ref="A17:H17"/>
    <mergeCell ref="A25:H25"/>
    <mergeCell ref="A26:H34"/>
    <mergeCell ref="A1:H2"/>
    <mergeCell ref="A4:H4"/>
    <mergeCell ref="A5:H9"/>
    <mergeCell ref="A11:H11"/>
    <mergeCell ref="A12:H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2"/>
  <sheetViews>
    <sheetView topLeftCell="A13" workbookViewId="0">
      <selection activeCell="E32" sqref="E32"/>
    </sheetView>
  </sheetViews>
  <sheetFormatPr baseColWidth="10" defaultColWidth="8.6640625" defaultRowHeight="14"/>
  <cols>
    <col min="1" max="1" width="14" customWidth="1"/>
    <col min="2" max="2" width="38" customWidth="1"/>
    <col min="3" max="3" width="44" customWidth="1"/>
    <col min="4" max="5" width="22" customWidth="1"/>
    <col min="6" max="6" width="16" customWidth="1"/>
    <col min="7" max="8" width="14" customWidth="1"/>
  </cols>
  <sheetData>
    <row r="1" spans="1:8">
      <c r="A1" s="16" t="s">
        <v>49</v>
      </c>
      <c r="B1" s="16"/>
      <c r="C1" s="16"/>
      <c r="D1" s="16"/>
      <c r="E1" s="16"/>
      <c r="F1" s="16"/>
      <c r="G1" s="16"/>
      <c r="H1" s="16"/>
    </row>
    <row r="2" spans="1:8">
      <c r="A2" s="16"/>
      <c r="B2" s="16"/>
      <c r="C2" s="16"/>
      <c r="D2" s="16"/>
      <c r="E2" s="16"/>
      <c r="F2" s="16"/>
      <c r="G2" s="16"/>
      <c r="H2" s="16"/>
    </row>
    <row r="4" spans="1:8">
      <c r="A4" s="20" t="s">
        <v>50</v>
      </c>
      <c r="B4" s="20"/>
      <c r="C4" s="20"/>
      <c r="D4" s="20"/>
      <c r="E4" s="20"/>
      <c r="F4" s="20"/>
      <c r="G4" s="20"/>
      <c r="H4" s="20"/>
    </row>
    <row r="5" spans="1:8">
      <c r="A5" s="21" t="s">
        <v>51</v>
      </c>
      <c r="B5" s="21"/>
      <c r="C5" s="21"/>
      <c r="D5" s="21"/>
      <c r="E5" s="21"/>
      <c r="F5" s="21"/>
      <c r="G5" s="21"/>
      <c r="H5" s="21"/>
    </row>
    <row r="6" spans="1:8">
      <c r="A6" s="21"/>
      <c r="B6" s="21"/>
      <c r="C6" s="21"/>
      <c r="D6" s="21"/>
      <c r="E6" s="21"/>
      <c r="F6" s="21"/>
      <c r="G6" s="21"/>
      <c r="H6" s="21"/>
    </row>
    <row r="7" spans="1:8">
      <c r="A7" s="21"/>
      <c r="B7" s="21"/>
      <c r="C7" s="21"/>
      <c r="D7" s="21"/>
      <c r="E7" s="21"/>
      <c r="F7" s="21"/>
      <c r="G7" s="21"/>
      <c r="H7" s="21"/>
    </row>
    <row r="8" spans="1:8">
      <c r="A8" s="21"/>
      <c r="B8" s="21"/>
      <c r="C8" s="21"/>
      <c r="D8" s="21"/>
      <c r="E8" s="21"/>
      <c r="F8" s="21"/>
      <c r="G8" s="21"/>
      <c r="H8" s="21"/>
    </row>
    <row r="9" spans="1:8">
      <c r="A9" s="21"/>
      <c r="B9" s="21"/>
      <c r="C9" s="21"/>
      <c r="D9" s="21"/>
      <c r="E9" s="21"/>
      <c r="F9" s="21"/>
      <c r="G9" s="21"/>
      <c r="H9" s="21"/>
    </row>
    <row r="11" spans="1:8">
      <c r="A11" s="19" t="s">
        <v>52</v>
      </c>
      <c r="B11" s="19"/>
      <c r="C11" s="19"/>
      <c r="D11" s="19"/>
      <c r="E11" s="19"/>
      <c r="F11" s="19"/>
      <c r="G11" s="19"/>
      <c r="H11" s="19"/>
    </row>
    <row r="12" spans="1:8">
      <c r="A12" s="6" t="s">
        <v>53</v>
      </c>
      <c r="B12" s="6" t="s">
        <v>54</v>
      </c>
      <c r="C12" s="6" t="s">
        <v>55</v>
      </c>
      <c r="D12" s="6" t="s">
        <v>56</v>
      </c>
    </row>
    <row r="13" spans="1:8">
      <c r="A13" s="7" t="s">
        <v>57</v>
      </c>
      <c r="B13" s="7"/>
      <c r="C13" s="8">
        <v>5800000</v>
      </c>
      <c r="D13" s="7" t="s">
        <v>58</v>
      </c>
    </row>
    <row r="14" spans="1:8">
      <c r="A14" s="7" t="s">
        <v>59</v>
      </c>
      <c r="B14" s="7"/>
      <c r="C14" s="8">
        <v>-3620000</v>
      </c>
      <c r="D14" s="7" t="s">
        <v>58</v>
      </c>
    </row>
    <row r="15" spans="1:8">
      <c r="A15" s="7" t="s">
        <v>60</v>
      </c>
      <c r="B15" s="7"/>
      <c r="C15" s="8">
        <v>-420000</v>
      </c>
      <c r="D15" s="7" t="s">
        <v>58</v>
      </c>
    </row>
    <row r="16" spans="1:8">
      <c r="A16" s="7" t="s">
        <v>61</v>
      </c>
      <c r="B16" s="7"/>
      <c r="C16" s="8">
        <v>-310000</v>
      </c>
      <c r="D16" s="7" t="s">
        <v>58</v>
      </c>
    </row>
    <row r="17" spans="1:8">
      <c r="A17" s="7" t="s">
        <v>62</v>
      </c>
      <c r="B17" s="7"/>
      <c r="C17" s="8">
        <v>-180000</v>
      </c>
      <c r="D17" s="7" t="s">
        <v>63</v>
      </c>
    </row>
    <row r="18" spans="1:8">
      <c r="A18" s="7" t="s">
        <v>64</v>
      </c>
      <c r="B18" s="7"/>
      <c r="C18" s="8">
        <v>-45000</v>
      </c>
      <c r="D18" s="7" t="s">
        <v>63</v>
      </c>
    </row>
    <row r="19" spans="1:8">
      <c r="A19" s="7" t="s">
        <v>65</v>
      </c>
      <c r="B19" s="7"/>
      <c r="C19" s="8">
        <v>1225000</v>
      </c>
      <c r="D19" s="7" t="s">
        <v>66</v>
      </c>
    </row>
    <row r="20" spans="1:8">
      <c r="A20" s="7" t="s">
        <v>67</v>
      </c>
      <c r="B20" s="7"/>
      <c r="C20" s="8">
        <v>-150000</v>
      </c>
      <c r="D20" s="7" t="s">
        <v>68</v>
      </c>
    </row>
    <row r="21" spans="1:8">
      <c r="A21" s="7" t="s">
        <v>69</v>
      </c>
      <c r="B21" s="7"/>
      <c r="C21" s="8">
        <v>1075000</v>
      </c>
      <c r="D21" s="7"/>
    </row>
    <row r="23" spans="1:8">
      <c r="A23" s="6" t="s">
        <v>53</v>
      </c>
      <c r="B23" s="6" t="s">
        <v>54</v>
      </c>
      <c r="C23" s="6" t="s">
        <v>55</v>
      </c>
      <c r="D23" s="6" t="s">
        <v>56</v>
      </c>
    </row>
    <row r="24" spans="1:8">
      <c r="A24" s="7" t="s">
        <v>70</v>
      </c>
      <c r="B24" s="7"/>
      <c r="C24" s="8">
        <v>-268750</v>
      </c>
      <c r="D24" s="7" t="s">
        <v>71</v>
      </c>
    </row>
    <row r="25" spans="1:8">
      <c r="A25" s="9" t="s">
        <v>72</v>
      </c>
      <c r="B25" s="9"/>
      <c r="C25" s="10">
        <v>806250</v>
      </c>
      <c r="D25" s="9" t="s">
        <v>73</v>
      </c>
    </row>
    <row r="28" spans="1:8">
      <c r="A28" s="19" t="s">
        <v>74</v>
      </c>
      <c r="B28" s="19"/>
      <c r="C28" s="19"/>
      <c r="D28" s="19"/>
      <c r="E28" s="19"/>
      <c r="F28" s="19"/>
      <c r="G28" s="19"/>
      <c r="H28" s="19"/>
    </row>
    <row r="29" spans="1:8">
      <c r="A29" s="6" t="s">
        <v>75</v>
      </c>
      <c r="B29" s="6" t="s">
        <v>53</v>
      </c>
      <c r="C29" s="6" t="s">
        <v>54</v>
      </c>
      <c r="D29" s="6" t="s">
        <v>76</v>
      </c>
      <c r="E29" s="6" t="s">
        <v>77</v>
      </c>
      <c r="F29" s="6" t="s">
        <v>78</v>
      </c>
    </row>
    <row r="30" spans="1:8">
      <c r="A30" s="7">
        <v>1</v>
      </c>
      <c r="B30" s="7" t="s">
        <v>69</v>
      </c>
      <c r="C30" s="3"/>
      <c r="D30" s="11"/>
      <c r="E30" s="7"/>
      <c r="F30" s="7" t="str">
        <f>IF(D30="","Pendiente",IF(ABS(D30-E30)&lt;0.01,"Correcto","Revisar"))</f>
        <v>Pendiente</v>
      </c>
    </row>
    <row r="31" spans="1:8">
      <c r="A31" s="7">
        <v>2</v>
      </c>
      <c r="B31" s="7" t="s">
        <v>79</v>
      </c>
      <c r="C31" s="3"/>
      <c r="D31" s="11"/>
      <c r="E31" s="7"/>
      <c r="F31" s="7" t="str">
        <f>IF(D31="","Pendiente",IF(ABS(D31-E31)&lt;0.01,"Correcto","Revisar"))</f>
        <v>Pendiente</v>
      </c>
    </row>
    <row r="32" spans="1:8">
      <c r="A32" s="7">
        <v>3</v>
      </c>
      <c r="B32" s="7" t="s">
        <v>72</v>
      </c>
      <c r="C32" s="3"/>
      <c r="D32" s="11"/>
      <c r="E32" s="7"/>
      <c r="F32" s="7" t="str">
        <f>IF(D32="","Pendiente",IF(ABS(D32-E32)&lt;0.01,"Correcto","Revisar"))</f>
        <v>Pendiente</v>
      </c>
    </row>
  </sheetData>
  <mergeCells count="5">
    <mergeCell ref="A1:H2"/>
    <mergeCell ref="A4:H4"/>
    <mergeCell ref="A5:H9"/>
    <mergeCell ref="A11:H11"/>
    <mergeCell ref="A28:H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6"/>
  <sheetViews>
    <sheetView topLeftCell="A10" workbookViewId="0">
      <selection activeCell="C27" sqref="C27"/>
    </sheetView>
  </sheetViews>
  <sheetFormatPr baseColWidth="10" defaultColWidth="8.6640625" defaultRowHeight="14"/>
  <cols>
    <col min="1" max="1" width="14" customWidth="1"/>
    <col min="2" max="2" width="38" customWidth="1"/>
    <col min="3" max="3" width="44" customWidth="1"/>
    <col min="4" max="5" width="22" customWidth="1"/>
    <col min="6" max="6" width="16" customWidth="1"/>
    <col min="7" max="8" width="14" customWidth="1"/>
  </cols>
  <sheetData>
    <row r="1" spans="1:8">
      <c r="A1" s="16" t="s">
        <v>80</v>
      </c>
      <c r="B1" s="16"/>
      <c r="C1" s="16"/>
      <c r="D1" s="16"/>
      <c r="E1" s="16"/>
      <c r="F1" s="16"/>
      <c r="G1" s="16"/>
      <c r="H1" s="16"/>
    </row>
    <row r="2" spans="1:8">
      <c r="A2" s="16"/>
      <c r="B2" s="16"/>
      <c r="C2" s="16"/>
      <c r="D2" s="16"/>
      <c r="E2" s="16"/>
      <c r="F2" s="16"/>
      <c r="G2" s="16"/>
      <c r="H2" s="16"/>
    </row>
    <row r="4" spans="1:8">
      <c r="A4" s="20" t="s">
        <v>50</v>
      </c>
      <c r="B4" s="20"/>
      <c r="C4" s="20"/>
      <c r="D4" s="20"/>
      <c r="E4" s="20"/>
      <c r="F4" s="20"/>
      <c r="G4" s="20"/>
      <c r="H4" s="20"/>
    </row>
    <row r="5" spans="1:8">
      <c r="A5" s="21" t="s">
        <v>81</v>
      </c>
      <c r="B5" s="21"/>
      <c r="C5" s="21"/>
      <c r="D5" s="21"/>
      <c r="E5" s="21"/>
      <c r="F5" s="21"/>
      <c r="G5" s="21"/>
      <c r="H5" s="21"/>
    </row>
    <row r="6" spans="1:8">
      <c r="A6" s="21"/>
      <c r="B6" s="21"/>
      <c r="C6" s="21"/>
      <c r="D6" s="21"/>
      <c r="E6" s="21"/>
      <c r="F6" s="21"/>
      <c r="G6" s="21"/>
      <c r="H6" s="21"/>
    </row>
    <row r="7" spans="1:8">
      <c r="A7" s="21"/>
      <c r="B7" s="21"/>
      <c r="C7" s="21"/>
      <c r="D7" s="21"/>
      <c r="E7" s="21"/>
      <c r="F7" s="21"/>
      <c r="G7" s="21"/>
      <c r="H7" s="21"/>
    </row>
    <row r="8" spans="1:8">
      <c r="A8" s="21"/>
      <c r="B8" s="21"/>
      <c r="C8" s="21"/>
      <c r="D8" s="21"/>
      <c r="E8" s="21"/>
      <c r="F8" s="21"/>
      <c r="G8" s="21"/>
      <c r="H8" s="21"/>
    </row>
    <row r="9" spans="1:8">
      <c r="A9" s="21"/>
      <c r="B9" s="21"/>
      <c r="C9" s="21"/>
      <c r="D9" s="21"/>
      <c r="E9" s="21"/>
      <c r="F9" s="21"/>
      <c r="G9" s="21"/>
      <c r="H9" s="21"/>
    </row>
    <row r="10" spans="1:8">
      <c r="A10" s="21"/>
      <c r="B10" s="21"/>
      <c r="C10" s="21"/>
      <c r="D10" s="21"/>
      <c r="E10" s="21"/>
      <c r="F10" s="21"/>
      <c r="G10" s="21"/>
      <c r="H10" s="21"/>
    </row>
    <row r="12" spans="1:8">
      <c r="A12" s="19" t="s">
        <v>82</v>
      </c>
      <c r="B12" s="19"/>
      <c r="C12" s="19"/>
      <c r="D12" s="19"/>
      <c r="E12" s="19"/>
      <c r="F12" s="19"/>
      <c r="G12" s="19"/>
      <c r="H12" s="19"/>
    </row>
    <row r="13" spans="1:8">
      <c r="A13" s="6" t="s">
        <v>53</v>
      </c>
      <c r="B13" s="6" t="s">
        <v>55</v>
      </c>
      <c r="C13" s="6" t="s">
        <v>83</v>
      </c>
      <c r="D13" s="6" t="s">
        <v>84</v>
      </c>
      <c r="E13" s="6" t="s">
        <v>85</v>
      </c>
    </row>
    <row r="14" spans="1:8" ht="28">
      <c r="A14" s="7" t="s">
        <v>86</v>
      </c>
      <c r="B14" s="8">
        <v>180000</v>
      </c>
      <c r="C14" s="7"/>
      <c r="D14" s="5" t="s">
        <v>87</v>
      </c>
      <c r="E14" s="7" t="s">
        <v>88</v>
      </c>
    </row>
    <row r="15" spans="1:8" ht="28">
      <c r="A15" s="7" t="s">
        <v>89</v>
      </c>
      <c r="B15" s="8">
        <v>45000</v>
      </c>
      <c r="C15" s="7"/>
      <c r="D15" s="5" t="s">
        <v>87</v>
      </c>
      <c r="E15" s="7" t="s">
        <v>88</v>
      </c>
    </row>
    <row r="16" spans="1:8" ht="28">
      <c r="A16" s="7" t="s">
        <v>90</v>
      </c>
      <c r="B16" s="8">
        <v>520000</v>
      </c>
      <c r="C16" s="7"/>
      <c r="D16" s="5" t="s">
        <v>91</v>
      </c>
      <c r="E16" s="7" t="s">
        <v>92</v>
      </c>
    </row>
    <row r="17" spans="1:8" ht="28">
      <c r="A17" s="7" t="s">
        <v>93</v>
      </c>
      <c r="B17" s="8">
        <v>80000</v>
      </c>
      <c r="C17" s="7"/>
      <c r="D17" s="5" t="s">
        <v>94</v>
      </c>
      <c r="E17" s="7" t="s">
        <v>95</v>
      </c>
    </row>
    <row r="18" spans="1:8">
      <c r="A18" s="9" t="s">
        <v>96</v>
      </c>
      <c r="B18" s="10"/>
      <c r="C18" s="9"/>
      <c r="D18" s="12"/>
      <c r="E18" s="9"/>
    </row>
    <row r="21" spans="1:8">
      <c r="A21" s="19" t="s">
        <v>74</v>
      </c>
      <c r="B21" s="19"/>
      <c r="C21" s="19"/>
      <c r="D21" s="19"/>
      <c r="E21" s="19"/>
      <c r="F21" s="19"/>
      <c r="G21" s="19"/>
      <c r="H21" s="19"/>
    </row>
    <row r="22" spans="1:8">
      <c r="A22" s="6" t="s">
        <v>75</v>
      </c>
      <c r="B22" s="6" t="s">
        <v>53</v>
      </c>
      <c r="C22" s="6" t="s">
        <v>54</v>
      </c>
      <c r="D22" s="6" t="s">
        <v>76</v>
      </c>
      <c r="E22" s="6" t="s">
        <v>77</v>
      </c>
      <c r="F22" s="6" t="s">
        <v>78</v>
      </c>
    </row>
    <row r="23" spans="1:8">
      <c r="A23" s="7">
        <v>1</v>
      </c>
      <c r="B23" s="7" t="s">
        <v>86</v>
      </c>
      <c r="C23" s="3"/>
      <c r="D23" s="11"/>
      <c r="E23" s="7"/>
      <c r="F23" s="7" t="str">
        <f>IF(D23="","Pendiente",IF(ABS(D23-E23)&lt;0.01,"Correcto","Revisar"))</f>
        <v>Pendiente</v>
      </c>
    </row>
    <row r="24" spans="1:8">
      <c r="A24" s="7">
        <v>2</v>
      </c>
      <c r="B24" s="7" t="s">
        <v>89</v>
      </c>
      <c r="C24" s="3"/>
      <c r="D24" s="11"/>
      <c r="E24" s="7"/>
      <c r="F24" s="7" t="str">
        <f>IF(D24="","Pendiente",IF(ABS(D24-E24)&lt;0.01,"Correcto","Revisar"))</f>
        <v>Pendiente</v>
      </c>
    </row>
    <row r="25" spans="1:8">
      <c r="A25" s="7">
        <v>3</v>
      </c>
      <c r="B25" s="7" t="s">
        <v>90</v>
      </c>
      <c r="C25" s="3"/>
      <c r="D25" s="11"/>
      <c r="E25" s="7"/>
      <c r="F25" s="7" t="str">
        <f>IF(D25="","Pendiente",IF(ABS(D25-E25)&lt;0.01,"Correcto","Revisar"))</f>
        <v>Pendiente</v>
      </c>
    </row>
    <row r="26" spans="1:8">
      <c r="A26" s="7">
        <v>4</v>
      </c>
      <c r="B26" s="7" t="s">
        <v>93</v>
      </c>
      <c r="C26" s="3"/>
      <c r="D26" s="11"/>
      <c r="E26" s="7"/>
      <c r="F26" s="7" t="str">
        <f>IF(D26="","Pendiente",IF(ABS(D26-E26)&lt;0.01,"Correcto","Revisar"))</f>
        <v>Pendiente</v>
      </c>
    </row>
  </sheetData>
  <mergeCells count="5">
    <mergeCell ref="A1:H2"/>
    <mergeCell ref="A4:H4"/>
    <mergeCell ref="A5:H10"/>
    <mergeCell ref="A12:H12"/>
    <mergeCell ref="A21:H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9"/>
  <sheetViews>
    <sheetView topLeftCell="B1" zoomScale="77" workbookViewId="0">
      <selection activeCell="E21" sqref="E21"/>
    </sheetView>
  </sheetViews>
  <sheetFormatPr baseColWidth="10" defaultColWidth="8.6640625" defaultRowHeight="14"/>
  <cols>
    <col min="1" max="1" width="46" customWidth="1"/>
    <col min="2" max="2" width="64" customWidth="1"/>
    <col min="3" max="3" width="54" customWidth="1"/>
    <col min="4" max="5" width="22" customWidth="1"/>
    <col min="6" max="6" width="16" customWidth="1"/>
    <col min="7" max="8" width="14" customWidth="1"/>
  </cols>
  <sheetData>
    <row r="1" spans="1:8">
      <c r="A1" s="16" t="s">
        <v>97</v>
      </c>
      <c r="B1" s="16"/>
      <c r="C1" s="16"/>
      <c r="D1" s="16"/>
      <c r="E1" s="16"/>
      <c r="F1" s="16"/>
      <c r="G1" s="16"/>
      <c r="H1" s="16"/>
    </row>
    <row r="2" spans="1:8">
      <c r="A2" s="16"/>
      <c r="B2" s="16"/>
      <c r="C2" s="16"/>
      <c r="D2" s="16"/>
      <c r="E2" s="16"/>
      <c r="F2" s="16"/>
      <c r="G2" s="16"/>
      <c r="H2" s="16"/>
    </row>
    <row r="4" spans="1:8">
      <c r="A4" s="20" t="s">
        <v>50</v>
      </c>
      <c r="B4" s="20"/>
      <c r="C4" s="20"/>
      <c r="D4" s="20"/>
      <c r="E4" s="20"/>
      <c r="F4" s="20"/>
      <c r="G4" s="20"/>
      <c r="H4" s="20"/>
    </row>
    <row r="5" spans="1:8">
      <c r="A5" s="21" t="s">
        <v>98</v>
      </c>
      <c r="B5" s="21"/>
      <c r="C5" s="21"/>
      <c r="D5" s="21"/>
      <c r="E5" s="21"/>
      <c r="F5" s="21"/>
      <c r="G5" s="21"/>
      <c r="H5" s="21"/>
    </row>
    <row r="6" spans="1:8">
      <c r="A6" s="21"/>
      <c r="B6" s="21"/>
      <c r="C6" s="21"/>
      <c r="D6" s="21"/>
      <c r="E6" s="21"/>
      <c r="F6" s="21"/>
      <c r="G6" s="21"/>
      <c r="H6" s="21"/>
    </row>
    <row r="7" spans="1:8">
      <c r="A7" s="21"/>
      <c r="B7" s="21"/>
      <c r="C7" s="21"/>
      <c r="D7" s="21"/>
      <c r="E7" s="21"/>
      <c r="F7" s="21"/>
      <c r="G7" s="21"/>
      <c r="H7" s="21"/>
    </row>
    <row r="8" spans="1:8">
      <c r="A8" s="21"/>
      <c r="B8" s="21"/>
      <c r="C8" s="21"/>
      <c r="D8" s="21"/>
      <c r="E8" s="21"/>
      <c r="F8" s="21"/>
      <c r="G8" s="21"/>
      <c r="H8" s="21"/>
    </row>
    <row r="9" spans="1:8">
      <c r="A9" s="21"/>
      <c r="B9" s="21"/>
      <c r="C9" s="21"/>
      <c r="D9" s="21"/>
      <c r="E9" s="21"/>
      <c r="F9" s="21"/>
      <c r="G9" s="21"/>
      <c r="H9" s="21"/>
    </row>
    <row r="10" spans="1:8">
      <c r="A10" s="21"/>
      <c r="B10" s="21"/>
      <c r="C10" s="21"/>
      <c r="D10" s="21"/>
      <c r="E10" s="21"/>
      <c r="F10" s="21"/>
      <c r="G10" s="21"/>
      <c r="H10" s="21"/>
    </row>
    <row r="12" spans="1:8">
      <c r="A12" s="19" t="s">
        <v>99</v>
      </c>
      <c r="B12" s="19"/>
      <c r="C12" s="19"/>
      <c r="D12" s="19"/>
      <c r="E12" s="19"/>
      <c r="F12" s="19"/>
      <c r="G12" s="19"/>
      <c r="H12" s="19"/>
    </row>
    <row r="13" spans="1:8">
      <c r="A13" s="6" t="s">
        <v>53</v>
      </c>
      <c r="B13" s="6" t="s">
        <v>55</v>
      </c>
      <c r="C13" s="6" t="s">
        <v>83</v>
      </c>
      <c r="D13" s="6" t="s">
        <v>100</v>
      </c>
      <c r="E13" s="6" t="s">
        <v>85</v>
      </c>
    </row>
    <row r="14" spans="1:8" ht="28">
      <c r="A14" s="7" t="s">
        <v>101</v>
      </c>
      <c r="B14" s="8">
        <v>400000</v>
      </c>
      <c r="C14" s="7"/>
      <c r="D14" s="5" t="s">
        <v>102</v>
      </c>
      <c r="E14" s="7" t="s">
        <v>103</v>
      </c>
    </row>
    <row r="15" spans="1:8" ht="28">
      <c r="A15" s="7" t="s">
        <v>104</v>
      </c>
      <c r="B15" s="8">
        <v>250000</v>
      </c>
      <c r="C15" s="7"/>
      <c r="D15" s="5" t="s">
        <v>105</v>
      </c>
      <c r="E15" s="7" t="s">
        <v>106</v>
      </c>
    </row>
    <row r="16" spans="1:8" ht="28">
      <c r="A16" s="9" t="s">
        <v>107</v>
      </c>
      <c r="B16" s="10">
        <f>B14-B15</f>
        <v>150000</v>
      </c>
      <c r="C16" s="9"/>
      <c r="D16" s="12" t="s">
        <v>108</v>
      </c>
      <c r="E16" s="9" t="s">
        <v>109</v>
      </c>
    </row>
    <row r="19" spans="1:8">
      <c r="A19" s="19" t="s">
        <v>74</v>
      </c>
      <c r="B19" s="19"/>
      <c r="C19" s="19"/>
      <c r="D19" s="19"/>
      <c r="E19" s="19"/>
      <c r="F19" s="19"/>
      <c r="G19" s="19"/>
      <c r="H19" s="19"/>
    </row>
    <row r="20" spans="1:8">
      <c r="A20" s="6" t="s">
        <v>75</v>
      </c>
      <c r="B20" s="6" t="s">
        <v>53</v>
      </c>
      <c r="C20" s="6" t="s">
        <v>54</v>
      </c>
      <c r="D20" s="6" t="s">
        <v>76</v>
      </c>
      <c r="E20" s="6"/>
      <c r="F20" s="6" t="s">
        <v>78</v>
      </c>
    </row>
    <row r="21" spans="1:8">
      <c r="A21" s="7">
        <v>1</v>
      </c>
      <c r="B21" s="7" t="s">
        <v>110</v>
      </c>
      <c r="C21" s="3"/>
      <c r="D21" s="11"/>
      <c r="E21" s="7"/>
      <c r="F21" s="7" t="str">
        <f>IF(D21="","Pendiente",IF(ABS(D21-E21)&lt;0.01,"Correcto","Revisar"))</f>
        <v>Pendiente</v>
      </c>
    </row>
    <row r="22" spans="1:8">
      <c r="A22" s="7">
        <v>2</v>
      </c>
      <c r="B22" s="7" t="s">
        <v>111</v>
      </c>
      <c r="C22" s="3"/>
      <c r="D22" s="11"/>
      <c r="E22" s="7"/>
      <c r="F22" s="7" t="str">
        <f>IF(D22="","Pendiente",IF(ABS(D22-E22)&lt;0.01,"Correcto","Revisar"))</f>
        <v>Pendiente</v>
      </c>
    </row>
    <row r="23" spans="1:8">
      <c r="A23" s="7">
        <v>3</v>
      </c>
      <c r="B23" s="7" t="s">
        <v>107</v>
      </c>
      <c r="C23" s="3"/>
      <c r="D23" s="11"/>
      <c r="E23" s="7"/>
      <c r="F23" s="7" t="str">
        <f>IF(D23="","Pendiente",IF(ABS(D23-E23)&lt;0.01,"Correcto","Revisar"))</f>
        <v>Pendiente</v>
      </c>
    </row>
    <row r="26" spans="1:8">
      <c r="A26" s="19" t="s">
        <v>112</v>
      </c>
      <c r="B26" s="19"/>
      <c r="C26" s="19"/>
      <c r="D26" s="19"/>
      <c r="E26" s="19"/>
      <c r="F26" s="19"/>
      <c r="G26" s="19"/>
      <c r="H26" s="19"/>
    </row>
    <row r="27" spans="1:8">
      <c r="A27" s="6" t="s">
        <v>113</v>
      </c>
      <c r="B27" s="6" t="s">
        <v>114</v>
      </c>
      <c r="C27" s="6" t="s">
        <v>115</v>
      </c>
    </row>
    <row r="28" spans="1:8">
      <c r="A28" s="7" t="s">
        <v>116</v>
      </c>
      <c r="B28" s="13"/>
      <c r="C28" s="7" t="s">
        <v>117</v>
      </c>
    </row>
    <row r="29" spans="1:8">
      <c r="A29" s="7" t="s">
        <v>118</v>
      </c>
      <c r="B29" s="13"/>
      <c r="C29" s="7" t="s">
        <v>119</v>
      </c>
    </row>
  </sheetData>
  <mergeCells count="6">
    <mergeCell ref="A26:H26"/>
    <mergeCell ref="A1:H2"/>
    <mergeCell ref="A4:H4"/>
    <mergeCell ref="A5:H10"/>
    <mergeCell ref="A12:H12"/>
    <mergeCell ref="A19:H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4"/>
  <sheetViews>
    <sheetView topLeftCell="B8" workbookViewId="0">
      <selection activeCell="D25" sqref="D25"/>
    </sheetView>
  </sheetViews>
  <sheetFormatPr baseColWidth="10" defaultColWidth="8.6640625" defaultRowHeight="14"/>
  <cols>
    <col min="1" max="1" width="20" customWidth="1"/>
    <col min="2" max="2" width="72" customWidth="1"/>
    <col min="3" max="4" width="24" customWidth="1"/>
    <col min="5" max="5" width="16" customWidth="1"/>
    <col min="6" max="6" width="46" customWidth="1"/>
    <col min="7" max="8" width="14" customWidth="1"/>
  </cols>
  <sheetData>
    <row r="1" spans="1:8">
      <c r="A1" s="16" t="s">
        <v>120</v>
      </c>
      <c r="B1" s="16"/>
      <c r="C1" s="16"/>
      <c r="D1" s="16"/>
      <c r="E1" s="16"/>
      <c r="F1" s="16"/>
      <c r="G1" s="16"/>
      <c r="H1" s="16"/>
    </row>
    <row r="2" spans="1:8">
      <c r="A2" s="16"/>
      <c r="B2" s="16"/>
      <c r="C2" s="16"/>
      <c r="D2" s="16"/>
      <c r="E2" s="16"/>
      <c r="F2" s="16"/>
      <c r="G2" s="16"/>
      <c r="H2" s="16"/>
    </row>
    <row r="4" spans="1:8">
      <c r="A4" s="20" t="s">
        <v>121</v>
      </c>
      <c r="B4" s="20"/>
      <c r="C4" s="20"/>
      <c r="D4" s="20"/>
      <c r="E4" s="20"/>
      <c r="F4" s="20"/>
      <c r="G4" s="20"/>
      <c r="H4" s="20"/>
    </row>
    <row r="5" spans="1:8">
      <c r="A5" s="21" t="s">
        <v>122</v>
      </c>
      <c r="B5" s="21"/>
      <c r="C5" s="21"/>
      <c r="D5" s="21"/>
      <c r="E5" s="21"/>
      <c r="F5" s="21"/>
      <c r="G5" s="21"/>
      <c r="H5" s="21"/>
    </row>
    <row r="6" spans="1:8">
      <c r="A6" s="21"/>
      <c r="B6" s="21"/>
      <c r="C6" s="21"/>
      <c r="D6" s="21"/>
      <c r="E6" s="21"/>
      <c r="F6" s="21"/>
      <c r="G6" s="21"/>
      <c r="H6" s="21"/>
    </row>
    <row r="7" spans="1:8">
      <c r="A7" s="21"/>
      <c r="B7" s="21"/>
      <c r="C7" s="21"/>
      <c r="D7" s="21"/>
      <c r="E7" s="21"/>
      <c r="F7" s="21"/>
      <c r="G7" s="21"/>
      <c r="H7" s="21"/>
    </row>
    <row r="8" spans="1:8">
      <c r="A8" s="21"/>
      <c r="B8" s="21"/>
      <c r="C8" s="21"/>
      <c r="D8" s="21"/>
      <c r="E8" s="21"/>
      <c r="F8" s="21"/>
      <c r="G8" s="21"/>
      <c r="H8" s="21"/>
    </row>
    <row r="9" spans="1:8">
      <c r="A9" s="21"/>
      <c r="B9" s="21"/>
      <c r="C9" s="21"/>
      <c r="D9" s="21"/>
      <c r="E9" s="21"/>
      <c r="F9" s="21"/>
      <c r="G9" s="21"/>
      <c r="H9" s="21"/>
    </row>
    <row r="10" spans="1:8">
      <c r="A10" s="21"/>
      <c r="B10" s="21"/>
      <c r="C10" s="21"/>
      <c r="D10" s="21"/>
      <c r="E10" s="21"/>
      <c r="F10" s="21"/>
      <c r="G10" s="21"/>
      <c r="H10" s="21"/>
    </row>
    <row r="11" spans="1:8">
      <c r="A11" s="21"/>
      <c r="B11" s="21"/>
      <c r="C11" s="21"/>
      <c r="D11" s="21"/>
      <c r="E11" s="21"/>
      <c r="F11" s="21"/>
      <c r="G11" s="21"/>
      <c r="H11" s="21"/>
    </row>
    <row r="13" spans="1:8">
      <c r="A13" s="19" t="s">
        <v>123</v>
      </c>
      <c r="B13" s="19"/>
      <c r="C13" s="19"/>
      <c r="D13" s="19"/>
      <c r="E13" s="19"/>
      <c r="F13" s="19"/>
      <c r="G13" s="19"/>
      <c r="H13" s="19"/>
    </row>
    <row r="14" spans="1:8" ht="28">
      <c r="A14" s="6" t="s">
        <v>124</v>
      </c>
      <c r="B14" s="6" t="s">
        <v>125</v>
      </c>
      <c r="C14" s="6" t="s">
        <v>126</v>
      </c>
      <c r="D14" s="6" t="s">
        <v>114</v>
      </c>
      <c r="E14" s="6" t="s">
        <v>77</v>
      </c>
      <c r="F14" s="6" t="s">
        <v>78</v>
      </c>
    </row>
    <row r="15" spans="1:8">
      <c r="A15" s="7">
        <v>1</v>
      </c>
      <c r="B15" s="7" t="s">
        <v>72</v>
      </c>
      <c r="C15" s="7" t="s">
        <v>127</v>
      </c>
      <c r="D15" s="11"/>
      <c r="E15" s="8"/>
      <c r="F15" s="7" t="str">
        <f t="shared" ref="F15:F21" si="0">IF(D15="","Pendiente",IF(ABS(D15-E15)&lt;0.01,"Correcto","Revisar"))</f>
        <v>Pendiente</v>
      </c>
    </row>
    <row r="16" spans="1:8">
      <c r="A16" s="7">
        <v>2</v>
      </c>
      <c r="B16" s="7" t="s">
        <v>86</v>
      </c>
      <c r="C16" s="7" t="s">
        <v>127</v>
      </c>
      <c r="D16" s="11"/>
      <c r="E16" s="8"/>
      <c r="F16" s="7" t="str">
        <f t="shared" si="0"/>
        <v>Pendiente</v>
      </c>
    </row>
    <row r="17" spans="1:6">
      <c r="A17" s="7">
        <v>3</v>
      </c>
      <c r="B17" s="7" t="s">
        <v>89</v>
      </c>
      <c r="C17" s="7" t="s">
        <v>127</v>
      </c>
      <c r="D17" s="11"/>
      <c r="E17" s="8"/>
      <c r="F17" s="7" t="str">
        <f t="shared" si="0"/>
        <v>Pendiente</v>
      </c>
    </row>
    <row r="18" spans="1:6">
      <c r="A18" s="7">
        <v>4</v>
      </c>
      <c r="B18" s="7" t="s">
        <v>90</v>
      </c>
      <c r="C18" s="7" t="s">
        <v>128</v>
      </c>
      <c r="D18" s="11"/>
      <c r="E18" s="8"/>
      <c r="F18" s="7" t="str">
        <f t="shared" si="0"/>
        <v>Pendiente</v>
      </c>
    </row>
    <row r="19" spans="1:6">
      <c r="A19" s="7">
        <v>5</v>
      </c>
      <c r="B19" s="7" t="s">
        <v>93</v>
      </c>
      <c r="C19" s="7" t="s">
        <v>128</v>
      </c>
      <c r="D19" s="11"/>
      <c r="E19" s="8"/>
      <c r="F19" s="7" t="str">
        <f t="shared" si="0"/>
        <v>Pendiente</v>
      </c>
    </row>
    <row r="20" spans="1:6">
      <c r="A20" s="7">
        <v>6</v>
      </c>
      <c r="B20" s="7" t="s">
        <v>110</v>
      </c>
      <c r="C20" s="7" t="s">
        <v>127</v>
      </c>
      <c r="D20" s="11"/>
      <c r="E20" s="8"/>
      <c r="F20" s="7" t="str">
        <f t="shared" si="0"/>
        <v>Pendiente</v>
      </c>
    </row>
    <row r="21" spans="1:6">
      <c r="A21" s="7">
        <v>7</v>
      </c>
      <c r="B21" s="7" t="s">
        <v>111</v>
      </c>
      <c r="C21" s="7" t="s">
        <v>128</v>
      </c>
      <c r="D21" s="11"/>
      <c r="E21" s="8"/>
      <c r="F21" s="7" t="str">
        <f t="shared" si="0"/>
        <v>Pendiente</v>
      </c>
    </row>
    <row r="23" spans="1:6">
      <c r="A23" s="6" t="s">
        <v>129</v>
      </c>
      <c r="B23" s="6" t="s">
        <v>130</v>
      </c>
      <c r="C23" s="6" t="s">
        <v>76</v>
      </c>
      <c r="D23" s="6" t="s">
        <v>77</v>
      </c>
      <c r="E23" s="6" t="s">
        <v>78</v>
      </c>
      <c r="F23" s="6" t="s">
        <v>131</v>
      </c>
    </row>
    <row r="24" spans="1:6">
      <c r="A24" s="7" t="s">
        <v>132</v>
      </c>
      <c r="B24" s="7"/>
      <c r="C24" s="11"/>
      <c r="D24" s="8"/>
      <c r="E24" s="7" t="str">
        <f>IF(C24="","Pendiente",IF(ABS(C24-D24)&lt;0.01,"Correcto","Revisar"))</f>
        <v>Pendiente</v>
      </c>
      <c r="F24" s="7" t="s">
        <v>133</v>
      </c>
    </row>
  </sheetData>
  <mergeCells count="4">
    <mergeCell ref="A1:H2"/>
    <mergeCell ref="A4:H4"/>
    <mergeCell ref="A5:H11"/>
    <mergeCell ref="A13:H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9"/>
  <sheetViews>
    <sheetView workbookViewId="0"/>
  </sheetViews>
  <sheetFormatPr baseColWidth="10" defaultColWidth="8.6640625" defaultRowHeight="14"/>
  <cols>
    <col min="1" max="1" width="36" customWidth="1"/>
    <col min="2" max="2" width="48" customWidth="1"/>
    <col min="3" max="4" width="24" customWidth="1"/>
    <col min="5" max="5" width="22" customWidth="1"/>
    <col min="6" max="6" width="46" customWidth="1"/>
    <col min="7" max="8" width="14" customWidth="1"/>
  </cols>
  <sheetData>
    <row r="1" spans="1:8">
      <c r="A1" s="16" t="s">
        <v>134</v>
      </c>
      <c r="B1" s="16"/>
      <c r="C1" s="16"/>
      <c r="D1" s="16"/>
      <c r="E1" s="16"/>
      <c r="F1" s="16"/>
      <c r="G1" s="16"/>
      <c r="H1" s="16"/>
    </row>
    <row r="2" spans="1:8">
      <c r="A2" s="16"/>
      <c r="B2" s="16"/>
      <c r="C2" s="16"/>
      <c r="D2" s="16"/>
      <c r="E2" s="16"/>
      <c r="F2" s="16"/>
      <c r="G2" s="16"/>
      <c r="H2" s="16"/>
    </row>
    <row r="4" spans="1:8">
      <c r="A4" s="20" t="s">
        <v>121</v>
      </c>
      <c r="B4" s="20"/>
      <c r="C4" s="20"/>
      <c r="D4" s="20"/>
      <c r="E4" s="20"/>
      <c r="F4" s="20"/>
      <c r="G4" s="20"/>
      <c r="H4" s="20"/>
    </row>
    <row r="5" spans="1:8">
      <c r="A5" s="21" t="s">
        <v>135</v>
      </c>
      <c r="B5" s="21"/>
      <c r="C5" s="21"/>
      <c r="D5" s="21"/>
      <c r="E5" s="21"/>
      <c r="F5" s="21"/>
      <c r="G5" s="21"/>
      <c r="H5" s="21"/>
    </row>
    <row r="6" spans="1:8">
      <c r="A6" s="21"/>
      <c r="B6" s="21"/>
      <c r="C6" s="21"/>
      <c r="D6" s="21"/>
      <c r="E6" s="21"/>
      <c r="F6" s="21"/>
      <c r="G6" s="21"/>
      <c r="H6" s="21"/>
    </row>
    <row r="7" spans="1:8">
      <c r="A7" s="21"/>
      <c r="B7" s="21"/>
      <c r="C7" s="21"/>
      <c r="D7" s="21"/>
      <c r="E7" s="21"/>
      <c r="F7" s="21"/>
      <c r="G7" s="21"/>
      <c r="H7" s="21"/>
    </row>
    <row r="8" spans="1:8">
      <c r="A8" s="21"/>
      <c r="B8" s="21"/>
      <c r="C8" s="21"/>
      <c r="D8" s="21"/>
      <c r="E8" s="21"/>
      <c r="F8" s="21"/>
      <c r="G8" s="21"/>
      <c r="H8" s="21"/>
    </row>
    <row r="9" spans="1:8">
      <c r="A9" s="21"/>
      <c r="B9" s="21"/>
      <c r="C9" s="21"/>
      <c r="D9" s="21"/>
      <c r="E9" s="21"/>
      <c r="F9" s="21"/>
      <c r="G9" s="21"/>
      <c r="H9" s="21"/>
    </row>
    <row r="10" spans="1:8">
      <c r="A10" s="21"/>
      <c r="B10" s="21"/>
      <c r="C10" s="21"/>
      <c r="D10" s="21"/>
      <c r="E10" s="21"/>
      <c r="F10" s="21"/>
      <c r="G10" s="21"/>
      <c r="H10" s="21"/>
    </row>
    <row r="11" spans="1:8">
      <c r="A11" s="21"/>
      <c r="B11" s="21"/>
      <c r="C11" s="21"/>
      <c r="D11" s="21"/>
      <c r="E11" s="21"/>
      <c r="F11" s="21"/>
      <c r="G11" s="21"/>
      <c r="H11" s="21"/>
    </row>
    <row r="13" spans="1:8">
      <c r="A13" s="19" t="s">
        <v>136</v>
      </c>
      <c r="B13" s="19"/>
      <c r="C13" s="19"/>
      <c r="D13" s="19"/>
      <c r="E13" s="19"/>
      <c r="F13" s="19"/>
      <c r="G13" s="19"/>
      <c r="H13" s="19"/>
    </row>
    <row r="14" spans="1:8">
      <c r="A14" s="6" t="s">
        <v>53</v>
      </c>
      <c r="B14" s="6" t="s">
        <v>137</v>
      </c>
      <c r="C14" s="6" t="s">
        <v>54</v>
      </c>
      <c r="D14" s="6" t="s">
        <v>76</v>
      </c>
      <c r="E14" s="6" t="s">
        <v>77</v>
      </c>
      <c r="F14" s="6" t="s">
        <v>78</v>
      </c>
    </row>
    <row r="15" spans="1:8">
      <c r="A15" s="7" t="s">
        <v>138</v>
      </c>
      <c r="B15" s="7" t="s">
        <v>139</v>
      </c>
      <c r="C15" s="3"/>
      <c r="D15" s="11"/>
      <c r="E15" s="8">
        <v>543750</v>
      </c>
      <c r="F15" s="7" t="str">
        <f>IF(D15="","Pendiente",IF(ABS(D15-E15)&lt;0.01,"Correcto","Revisar"))</f>
        <v>Pendiente</v>
      </c>
    </row>
    <row r="16" spans="1:8">
      <c r="A16" s="7" t="s">
        <v>140</v>
      </c>
      <c r="B16" s="7" t="s">
        <v>36</v>
      </c>
      <c r="C16" s="3"/>
      <c r="D16" s="11"/>
      <c r="E16" s="8">
        <v>150000</v>
      </c>
      <c r="F16" s="7" t="str">
        <f>IF(D16="","Pendiente",IF(ABS(D16-E16)&lt;0.01,"Correcto","Revisar"))</f>
        <v>Pendiente</v>
      </c>
    </row>
    <row r="17" spans="1:8">
      <c r="A17" s="7" t="s">
        <v>141</v>
      </c>
      <c r="B17" s="7" t="s">
        <v>36</v>
      </c>
      <c r="C17" s="3"/>
      <c r="D17" s="14"/>
      <c r="E17" s="15">
        <v>0.25</v>
      </c>
      <c r="F17" s="7" t="str">
        <f>IF(D17="","Pendiente",IF(ABS(D17-E17)&lt;0.01,"Correcto","Revisar"))</f>
        <v>Pendiente</v>
      </c>
    </row>
    <row r="18" spans="1:8">
      <c r="A18" s="7" t="s">
        <v>142</v>
      </c>
      <c r="B18" s="7" t="s">
        <v>143</v>
      </c>
      <c r="C18" s="3"/>
      <c r="D18" s="11"/>
      <c r="E18" s="8">
        <v>112500</v>
      </c>
      <c r="F18" s="7" t="str">
        <f>IF(D18="","Pendiente",IF(ABS(D18-E18)&lt;0.01,"Correcto","Revisar"))</f>
        <v>Pendiente</v>
      </c>
    </row>
    <row r="19" spans="1:8">
      <c r="A19" s="7" t="s">
        <v>107</v>
      </c>
      <c r="B19" s="7" t="s">
        <v>41</v>
      </c>
      <c r="C19" s="3"/>
      <c r="D19" s="11"/>
      <c r="E19" s="8">
        <v>150000</v>
      </c>
      <c r="F19" s="7" t="str">
        <f>IF(D19="","Pendiente",IF(ABS(D19-E19)&lt;0.01,"Correcto","Revisar"))</f>
        <v>Pendiente</v>
      </c>
    </row>
    <row r="22" spans="1:8">
      <c r="A22" s="6" t="s">
        <v>129</v>
      </c>
      <c r="B22" s="6" t="s">
        <v>130</v>
      </c>
      <c r="C22" s="6" t="s">
        <v>76</v>
      </c>
      <c r="D22" s="6" t="s">
        <v>77</v>
      </c>
      <c r="E22" s="6" t="s">
        <v>78</v>
      </c>
      <c r="F22" s="6" t="s">
        <v>144</v>
      </c>
    </row>
    <row r="23" spans="1:8">
      <c r="A23" s="7" t="s">
        <v>145</v>
      </c>
      <c r="B23" s="7" t="s">
        <v>146</v>
      </c>
      <c r="C23" s="11"/>
      <c r="D23" s="8">
        <v>581250</v>
      </c>
      <c r="E23" s="7" t="str">
        <f>IF(C23="","Pendiente",IF(ABS(C23-D23)&lt;0.01,"Correcto","Revisar"))</f>
        <v>Pendiente</v>
      </c>
      <c r="F23" s="7" t="s">
        <v>147</v>
      </c>
    </row>
    <row r="26" spans="1:8">
      <c r="A26" s="19" t="s">
        <v>148</v>
      </c>
      <c r="B26" s="19"/>
      <c r="C26" s="19"/>
      <c r="D26" s="19"/>
      <c r="E26" s="19"/>
      <c r="F26" s="19"/>
      <c r="G26" s="19"/>
      <c r="H26" s="19"/>
    </row>
    <row r="27" spans="1:8">
      <c r="A27" s="6" t="s">
        <v>149</v>
      </c>
      <c r="B27" s="6" t="s">
        <v>77</v>
      </c>
      <c r="C27" s="6" t="s">
        <v>114</v>
      </c>
      <c r="D27" s="6" t="s">
        <v>150</v>
      </c>
    </row>
    <row r="28" spans="1:8">
      <c r="A28" s="7" t="s">
        <v>151</v>
      </c>
      <c r="B28" s="8">
        <v>581250</v>
      </c>
      <c r="C28" s="11"/>
      <c r="D28" s="7" t="str">
        <f>IF(C28="","Pendiente",IF(ABS(C28-B28)&lt;0.01,"Correcto","Revisar"))</f>
        <v>Pendiente</v>
      </c>
    </row>
    <row r="29" spans="1:8">
      <c r="A29" s="7" t="s">
        <v>152</v>
      </c>
      <c r="B29" s="8">
        <v>581250</v>
      </c>
      <c r="C29" s="11"/>
      <c r="D29" s="7" t="str">
        <f>IF(C29="","Pendiente",IF(ABS(C29-B29)&lt;0.01,"Correcto","Revisar"))</f>
        <v>Pendiente</v>
      </c>
    </row>
  </sheetData>
  <mergeCells count="5">
    <mergeCell ref="A1:H2"/>
    <mergeCell ref="A4:H4"/>
    <mergeCell ref="A5:H11"/>
    <mergeCell ref="A13:H13"/>
    <mergeCell ref="A26:H2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workbookViewId="0"/>
  </sheetViews>
  <sheetFormatPr baseColWidth="10" defaultColWidth="8.6640625" defaultRowHeight="14"/>
  <cols>
    <col min="1" max="1" width="58" customWidth="1"/>
    <col min="2" max="2" width="78" customWidth="1"/>
    <col min="3" max="3" width="54" customWidth="1"/>
    <col min="4" max="6" width="18" customWidth="1"/>
    <col min="7" max="8" width="14" customWidth="1"/>
  </cols>
  <sheetData>
    <row r="1" spans="1:8">
      <c r="A1" s="16" t="s">
        <v>153</v>
      </c>
      <c r="B1" s="16"/>
      <c r="C1" s="16"/>
      <c r="D1" s="16"/>
      <c r="E1" s="16"/>
      <c r="F1" s="16"/>
      <c r="G1" s="16"/>
      <c r="H1" s="16"/>
    </row>
    <row r="2" spans="1:8">
      <c r="A2" s="16"/>
      <c r="B2" s="16"/>
      <c r="C2" s="16"/>
      <c r="D2" s="16"/>
      <c r="E2" s="16"/>
      <c r="F2" s="16"/>
      <c r="G2" s="16"/>
      <c r="H2" s="16"/>
    </row>
    <row r="4" spans="1:8">
      <c r="A4" s="20" t="s">
        <v>50</v>
      </c>
      <c r="B4" s="20"/>
      <c r="C4" s="20"/>
      <c r="D4" s="20"/>
      <c r="E4" s="20"/>
      <c r="F4" s="20"/>
      <c r="G4" s="20"/>
      <c r="H4" s="20"/>
    </row>
    <row r="5" spans="1:8">
      <c r="A5" s="21" t="s">
        <v>154</v>
      </c>
      <c r="B5" s="21"/>
      <c r="C5" s="21"/>
      <c r="D5" s="21"/>
      <c r="E5" s="21"/>
      <c r="F5" s="21"/>
      <c r="G5" s="21"/>
      <c r="H5" s="21"/>
    </row>
    <row r="6" spans="1:8">
      <c r="A6" s="21"/>
      <c r="B6" s="21"/>
      <c r="C6" s="21"/>
      <c r="D6" s="21"/>
      <c r="E6" s="21"/>
      <c r="F6" s="21"/>
      <c r="G6" s="21"/>
      <c r="H6" s="21"/>
    </row>
    <row r="7" spans="1:8">
      <c r="A7" s="21"/>
      <c r="B7" s="21"/>
      <c r="C7" s="21"/>
      <c r="D7" s="21"/>
      <c r="E7" s="21"/>
      <c r="F7" s="21"/>
      <c r="G7" s="21"/>
      <c r="H7" s="21"/>
    </row>
    <row r="8" spans="1:8">
      <c r="A8" s="21"/>
      <c r="B8" s="21"/>
      <c r="C8" s="21"/>
      <c r="D8" s="21"/>
      <c r="E8" s="21"/>
      <c r="F8" s="21"/>
      <c r="G8" s="21"/>
      <c r="H8" s="21"/>
    </row>
    <row r="9" spans="1:8">
      <c r="A9" s="21"/>
      <c r="B9" s="21"/>
      <c r="C9" s="21"/>
      <c r="D9" s="21"/>
      <c r="E9" s="21"/>
      <c r="F9" s="21"/>
      <c r="G9" s="21"/>
      <c r="H9" s="21"/>
    </row>
    <row r="10" spans="1:8">
      <c r="A10" s="21"/>
      <c r="B10" s="21"/>
      <c r="C10" s="21"/>
      <c r="D10" s="21"/>
      <c r="E10" s="21"/>
      <c r="F10" s="21"/>
      <c r="G10" s="21"/>
      <c r="H10" s="21"/>
    </row>
    <row r="12" spans="1:8">
      <c r="A12" s="19" t="s">
        <v>155</v>
      </c>
      <c r="B12" s="19"/>
      <c r="C12" s="19"/>
      <c r="D12" s="19"/>
      <c r="E12" s="19"/>
      <c r="F12" s="19"/>
      <c r="G12" s="19"/>
      <c r="H12" s="19"/>
    </row>
    <row r="13" spans="1:8">
      <c r="A13" s="6" t="s">
        <v>53</v>
      </c>
      <c r="B13" s="6" t="s">
        <v>129</v>
      </c>
      <c r="C13" s="6" t="s">
        <v>156</v>
      </c>
    </row>
    <row r="14" spans="1:8">
      <c r="A14" s="7" t="s">
        <v>72</v>
      </c>
      <c r="B14" s="8">
        <v>806250</v>
      </c>
      <c r="C14" s="5" t="s">
        <v>157</v>
      </c>
    </row>
    <row r="15" spans="1:8">
      <c r="A15" s="7" t="s">
        <v>107</v>
      </c>
      <c r="B15" s="8">
        <v>150000</v>
      </c>
      <c r="C15" s="5" t="s">
        <v>158</v>
      </c>
    </row>
    <row r="16" spans="1:8">
      <c r="A16" s="7" t="s">
        <v>132</v>
      </c>
      <c r="B16" s="8">
        <v>581250</v>
      </c>
      <c r="C16" s="5" t="s">
        <v>159</v>
      </c>
    </row>
    <row r="19" spans="1:8">
      <c r="A19" s="19" t="s">
        <v>160</v>
      </c>
      <c r="B19" s="19"/>
      <c r="C19" s="19"/>
      <c r="D19" s="19"/>
      <c r="E19" s="19"/>
      <c r="F19" s="19"/>
      <c r="G19" s="19"/>
      <c r="H19" s="19"/>
    </row>
    <row r="20" spans="1:8">
      <c r="A20" s="6" t="s">
        <v>113</v>
      </c>
      <c r="B20" s="6" t="s">
        <v>114</v>
      </c>
    </row>
    <row r="21" spans="1:8">
      <c r="A21" s="7" t="s">
        <v>161</v>
      </c>
      <c r="B21" s="13"/>
    </row>
    <row r="22" spans="1:8">
      <c r="A22" s="7" t="s">
        <v>162</v>
      </c>
      <c r="B22" s="13"/>
    </row>
    <row r="23" spans="1:8">
      <c r="A23" s="7" t="s">
        <v>163</v>
      </c>
      <c r="B23" s="13"/>
    </row>
    <row r="24" spans="1:8">
      <c r="A24" s="7" t="s">
        <v>164</v>
      </c>
      <c r="B24" s="13"/>
    </row>
    <row r="25" spans="1:8">
      <c r="A25" s="7" t="s">
        <v>165</v>
      </c>
      <c r="B25" s="13"/>
    </row>
    <row r="26" spans="1:8">
      <c r="A26" s="7" t="s">
        <v>166</v>
      </c>
      <c r="B26" s="13"/>
    </row>
  </sheetData>
  <mergeCells count="5">
    <mergeCell ref="A1:H2"/>
    <mergeCell ref="A4:H4"/>
    <mergeCell ref="A5:H10"/>
    <mergeCell ref="A12:H12"/>
    <mergeCell ref="A19:H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3"/>
  <sheetViews>
    <sheetView topLeftCell="A13" workbookViewId="0">
      <selection activeCell="B29" sqref="B29"/>
    </sheetView>
  </sheetViews>
  <sheetFormatPr baseColWidth="10" defaultColWidth="8.6640625" defaultRowHeight="14"/>
  <cols>
    <col min="1" max="1" width="30" customWidth="1"/>
    <col min="2" max="2" width="20" customWidth="1"/>
    <col min="3" max="3" width="24" customWidth="1"/>
    <col min="4" max="8" width="18" customWidth="1"/>
    <col min="9" max="9" width="22" customWidth="1"/>
  </cols>
  <sheetData>
    <row r="1" spans="1:9">
      <c r="A1" s="16" t="s">
        <v>167</v>
      </c>
      <c r="B1" s="16"/>
      <c r="C1" s="16"/>
      <c r="D1" s="16"/>
      <c r="E1" s="16"/>
      <c r="F1" s="16"/>
      <c r="G1" s="16"/>
      <c r="H1" s="16"/>
    </row>
    <row r="2" spans="1:9">
      <c r="A2" s="16"/>
      <c r="B2" s="16"/>
      <c r="C2" s="16"/>
      <c r="D2" s="16"/>
      <c r="E2" s="16"/>
      <c r="F2" s="16"/>
      <c r="G2" s="16"/>
      <c r="H2" s="16"/>
    </row>
    <row r="4" spans="1:9">
      <c r="A4" s="20" t="s">
        <v>50</v>
      </c>
      <c r="B4" s="20"/>
      <c r="C4" s="20"/>
      <c r="D4" s="20"/>
      <c r="E4" s="20"/>
      <c r="F4" s="20"/>
      <c r="G4" s="20"/>
      <c r="H4" s="20"/>
    </row>
    <row r="5" spans="1:9">
      <c r="A5" s="21" t="s">
        <v>168</v>
      </c>
      <c r="B5" s="21"/>
      <c r="C5" s="21"/>
      <c r="D5" s="21"/>
      <c r="E5" s="21"/>
      <c r="F5" s="21"/>
      <c r="G5" s="21"/>
      <c r="H5" s="21"/>
    </row>
    <row r="6" spans="1:9">
      <c r="A6" s="21"/>
      <c r="B6" s="21"/>
      <c r="C6" s="21"/>
      <c r="D6" s="21"/>
      <c r="E6" s="21"/>
      <c r="F6" s="21"/>
      <c r="G6" s="21"/>
      <c r="H6" s="21"/>
    </row>
    <row r="7" spans="1:9">
      <c r="A7" s="21"/>
      <c r="B7" s="21"/>
      <c r="C7" s="21"/>
      <c r="D7" s="21"/>
      <c r="E7" s="21"/>
      <c r="F7" s="21"/>
      <c r="G7" s="21"/>
      <c r="H7" s="21"/>
    </row>
    <row r="8" spans="1:9">
      <c r="A8" s="21"/>
      <c r="B8" s="21"/>
      <c r="C8" s="21"/>
      <c r="D8" s="21"/>
      <c r="E8" s="21"/>
      <c r="F8" s="21"/>
      <c r="G8" s="21"/>
      <c r="H8" s="21"/>
    </row>
    <row r="9" spans="1:9">
      <c r="A9" s="21"/>
      <c r="B9" s="21"/>
      <c r="C9" s="21"/>
      <c r="D9" s="21"/>
      <c r="E9" s="21"/>
      <c r="F9" s="21"/>
      <c r="G9" s="21"/>
      <c r="H9" s="21"/>
    </row>
    <row r="10" spans="1:9">
      <c r="A10" s="21"/>
      <c r="B10" s="21"/>
      <c r="C10" s="21"/>
      <c r="D10" s="21"/>
      <c r="E10" s="21"/>
      <c r="F10" s="21"/>
      <c r="G10" s="21"/>
      <c r="H10" s="21"/>
    </row>
    <row r="12" spans="1:9">
      <c r="A12" s="19" t="s">
        <v>169</v>
      </c>
      <c r="B12" s="19"/>
      <c r="C12" s="19"/>
      <c r="D12" s="19"/>
      <c r="E12" s="19"/>
      <c r="F12" s="19"/>
      <c r="G12" s="19"/>
      <c r="H12" s="19"/>
    </row>
    <row r="13" spans="1:9">
      <c r="A13" s="6" t="s">
        <v>170</v>
      </c>
      <c r="B13" s="6" t="s">
        <v>72</v>
      </c>
      <c r="C13" s="6" t="s">
        <v>171</v>
      </c>
      <c r="D13" s="6" t="s">
        <v>172</v>
      </c>
      <c r="E13" s="6" t="s">
        <v>90</v>
      </c>
      <c r="F13" s="6" t="s">
        <v>173</v>
      </c>
      <c r="G13" s="6" t="s">
        <v>110</v>
      </c>
      <c r="H13" s="6" t="s">
        <v>174</v>
      </c>
      <c r="I13" s="6" t="s">
        <v>132</v>
      </c>
    </row>
    <row r="14" spans="1:9">
      <c r="A14" s="7" t="s">
        <v>175</v>
      </c>
      <c r="B14" s="8">
        <v>806250</v>
      </c>
      <c r="C14" s="8">
        <v>180000</v>
      </c>
      <c r="D14" s="8">
        <v>45000</v>
      </c>
      <c r="E14" s="8">
        <v>520000</v>
      </c>
      <c r="F14" s="8">
        <v>80000</v>
      </c>
      <c r="G14" s="8">
        <v>400000</v>
      </c>
      <c r="H14" s="8">
        <v>250000</v>
      </c>
      <c r="I14" s="8">
        <f>B14+C14+D14-E14-F14+G14-H14</f>
        <v>581250</v>
      </c>
    </row>
    <row r="15" spans="1:9">
      <c r="A15" s="7" t="s">
        <v>176</v>
      </c>
      <c r="B15" s="8">
        <v>806250</v>
      </c>
      <c r="C15" s="8">
        <v>180000</v>
      </c>
      <c r="D15" s="8">
        <v>45000</v>
      </c>
      <c r="E15" s="8">
        <v>650000</v>
      </c>
      <c r="F15" s="8">
        <v>80000</v>
      </c>
      <c r="G15" s="8">
        <v>400000</v>
      </c>
      <c r="H15" s="8">
        <v>250000</v>
      </c>
      <c r="I15" s="8">
        <f>B15+C15+D15-E15-F15+G15-H15</f>
        <v>451250</v>
      </c>
    </row>
    <row r="16" spans="1:9">
      <c r="A16" s="7" t="s">
        <v>177</v>
      </c>
      <c r="B16" s="8">
        <v>806250</v>
      </c>
      <c r="C16" s="8">
        <v>180000</v>
      </c>
      <c r="D16" s="8">
        <v>45000</v>
      </c>
      <c r="E16" s="8">
        <v>520000</v>
      </c>
      <c r="F16" s="8">
        <v>80000</v>
      </c>
      <c r="G16" s="8">
        <v>200000</v>
      </c>
      <c r="H16" s="8">
        <v>250000</v>
      </c>
      <c r="I16" s="8">
        <f>B16+C16+D16-E16-F16+G16-H16</f>
        <v>381250</v>
      </c>
    </row>
    <row r="17" spans="1:9">
      <c r="A17" s="7" t="s">
        <v>178</v>
      </c>
      <c r="B17" s="8">
        <v>900000</v>
      </c>
      <c r="C17" s="8">
        <v>180000</v>
      </c>
      <c r="D17" s="8">
        <v>45000</v>
      </c>
      <c r="E17" s="8">
        <v>520000</v>
      </c>
      <c r="F17" s="8">
        <v>80000</v>
      </c>
      <c r="G17" s="8">
        <v>400000</v>
      </c>
      <c r="H17" s="8">
        <v>250000</v>
      </c>
      <c r="I17" s="8">
        <f>B17+C17+D17-E17-F17+G17-H17</f>
        <v>675000</v>
      </c>
    </row>
    <row r="20" spans="1:9">
      <c r="A20" s="19" t="s">
        <v>179</v>
      </c>
      <c r="B20" s="19"/>
      <c r="C20" s="19"/>
      <c r="D20" s="19"/>
      <c r="E20" s="19"/>
      <c r="F20" s="19"/>
      <c r="G20" s="19"/>
      <c r="H20" s="19"/>
    </row>
    <row r="21" spans="1:9">
      <c r="A21" s="6" t="s">
        <v>180</v>
      </c>
      <c r="B21" s="6" t="s">
        <v>181</v>
      </c>
      <c r="C21" s="6" t="s">
        <v>182</v>
      </c>
    </row>
    <row r="22" spans="1:9">
      <c r="A22" s="7" t="s">
        <v>72</v>
      </c>
      <c r="B22" s="8"/>
      <c r="C22" s="11"/>
    </row>
    <row r="23" spans="1:9">
      <c r="A23" s="7" t="s">
        <v>86</v>
      </c>
      <c r="B23" s="8"/>
      <c r="C23" s="11"/>
    </row>
    <row r="24" spans="1:9">
      <c r="A24" s="7" t="s">
        <v>89</v>
      </c>
      <c r="B24" s="8"/>
      <c r="C24" s="11"/>
    </row>
    <row r="25" spans="1:9">
      <c r="A25" s="7" t="s">
        <v>90</v>
      </c>
      <c r="B25" s="8"/>
      <c r="C25" s="11"/>
    </row>
    <row r="26" spans="1:9">
      <c r="A26" s="7" t="s">
        <v>93</v>
      </c>
      <c r="B26" s="8"/>
      <c r="C26" s="11"/>
    </row>
    <row r="27" spans="1:9">
      <c r="A27" s="7" t="s">
        <v>110</v>
      </c>
      <c r="B27" s="8"/>
      <c r="C27" s="11"/>
    </row>
    <row r="28" spans="1:9">
      <c r="A28" s="7" t="s">
        <v>111</v>
      </c>
      <c r="B28" s="8"/>
      <c r="C28" s="11"/>
    </row>
    <row r="31" spans="1:9">
      <c r="A31" s="6" t="s">
        <v>183</v>
      </c>
      <c r="B31" s="6" t="s">
        <v>184</v>
      </c>
      <c r="C31" s="6" t="s">
        <v>129</v>
      </c>
    </row>
    <row r="32" spans="1:9">
      <c r="A32" s="7" t="s">
        <v>132</v>
      </c>
      <c r="B32" s="7" t="s">
        <v>185</v>
      </c>
      <c r="C32" s="8">
        <f>C22+C23+C24-C25-C26+C27-C28</f>
        <v>0</v>
      </c>
    </row>
    <row r="33" spans="1:3">
      <c r="A33" s="7" t="s">
        <v>78</v>
      </c>
      <c r="B33" s="7" t="s">
        <v>186</v>
      </c>
      <c r="C33" s="7" t="str">
        <f>IF(C32&gt;0,"FCFE positivo",IF(C32=0,"FCFE igual a cero","FCFE negativo"))</f>
        <v>FCFE igual a cero</v>
      </c>
    </row>
  </sheetData>
  <mergeCells count="5">
    <mergeCell ref="A1:H2"/>
    <mergeCell ref="A4:H4"/>
    <mergeCell ref="A5:H10"/>
    <mergeCell ref="A12:H12"/>
    <mergeCell ref="A20:H20"/>
  </mergeCells>
  <conditionalFormatting sqref="C33">
    <cfRule type="expression" dxfId="1" priority="1">
      <formula>C33="FCFE positivo"</formula>
    </cfRule>
    <cfRule type="expression" dxfId="0" priority="2">
      <formula>C33="FCFE negativo"</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1"/>
  <sheetViews>
    <sheetView tabSelected="1" zoomScale="67" workbookViewId="0">
      <selection activeCell="B31" sqref="B31"/>
    </sheetView>
  </sheetViews>
  <sheetFormatPr baseColWidth="10" defaultColWidth="8.6640625" defaultRowHeight="14"/>
  <cols>
    <col min="1" max="1" width="62" customWidth="1"/>
    <col min="2" max="2" width="78" customWidth="1"/>
    <col min="3" max="3" width="52" customWidth="1"/>
    <col min="4" max="6" width="18" customWidth="1"/>
    <col min="7" max="8" width="14" customWidth="1"/>
  </cols>
  <sheetData>
    <row r="1" spans="1:8">
      <c r="A1" s="16" t="s">
        <v>187</v>
      </c>
      <c r="B1" s="16"/>
      <c r="C1" s="16"/>
      <c r="D1" s="16"/>
      <c r="E1" s="16"/>
      <c r="F1" s="16"/>
      <c r="G1" s="16"/>
      <c r="H1" s="16"/>
    </row>
    <row r="2" spans="1:8">
      <c r="A2" s="16"/>
      <c r="B2" s="16"/>
      <c r="C2" s="16"/>
      <c r="D2" s="16"/>
      <c r="E2" s="16"/>
      <c r="F2" s="16"/>
      <c r="G2" s="16"/>
      <c r="H2" s="16"/>
    </row>
    <row r="4" spans="1:8">
      <c r="A4" s="20" t="s">
        <v>188</v>
      </c>
      <c r="B4" s="20"/>
      <c r="C4" s="20"/>
      <c r="D4" s="20"/>
      <c r="E4" s="20"/>
      <c r="F4" s="20"/>
      <c r="G4" s="20"/>
      <c r="H4" s="20"/>
    </row>
    <row r="5" spans="1:8">
      <c r="A5" s="21" t="s">
        <v>189</v>
      </c>
      <c r="B5" s="21"/>
      <c r="C5" s="21"/>
      <c r="D5" s="21"/>
      <c r="E5" s="21"/>
      <c r="F5" s="21"/>
      <c r="G5" s="21"/>
      <c r="H5" s="21"/>
    </row>
    <row r="6" spans="1:8">
      <c r="A6" s="21"/>
      <c r="B6" s="21"/>
      <c r="C6" s="21"/>
      <c r="D6" s="21"/>
      <c r="E6" s="21"/>
      <c r="F6" s="21"/>
      <c r="G6" s="21"/>
      <c r="H6" s="21"/>
    </row>
    <row r="7" spans="1:8">
      <c r="A7" s="21"/>
      <c r="B7" s="21"/>
      <c r="C7" s="21"/>
      <c r="D7" s="21"/>
      <c r="E7" s="21"/>
      <c r="F7" s="21"/>
      <c r="G7" s="21"/>
      <c r="H7" s="21"/>
    </row>
    <row r="8" spans="1:8">
      <c r="A8" s="21"/>
      <c r="B8" s="21"/>
      <c r="C8" s="21"/>
      <c r="D8" s="21"/>
      <c r="E8" s="21"/>
      <c r="F8" s="21"/>
      <c r="G8" s="21"/>
      <c r="H8" s="21"/>
    </row>
    <row r="9" spans="1:8">
      <c r="A9" s="21"/>
      <c r="B9" s="21"/>
      <c r="C9" s="21"/>
      <c r="D9" s="21"/>
      <c r="E9" s="21"/>
      <c r="F9" s="21"/>
      <c r="G9" s="21"/>
      <c r="H9" s="21"/>
    </row>
    <row r="11" spans="1:8">
      <c r="A11" s="19" t="s">
        <v>190</v>
      </c>
      <c r="B11" s="19"/>
      <c r="C11" s="19"/>
      <c r="D11" s="19"/>
      <c r="E11" s="19"/>
      <c r="F11" s="19"/>
      <c r="G11" s="19"/>
      <c r="H11" s="19"/>
    </row>
    <row r="12" spans="1:8">
      <c r="A12" s="6" t="s">
        <v>191</v>
      </c>
      <c r="B12" s="6" t="s">
        <v>192</v>
      </c>
      <c r="C12" s="6" t="s">
        <v>193</v>
      </c>
      <c r="D12" s="6" t="s">
        <v>194</v>
      </c>
    </row>
    <row r="13" spans="1:8">
      <c r="A13" s="7" t="s">
        <v>195</v>
      </c>
      <c r="B13" s="7"/>
      <c r="C13" s="7"/>
      <c r="D13" s="7"/>
    </row>
    <row r="14" spans="1:8">
      <c r="A14" s="7" t="s">
        <v>196</v>
      </c>
      <c r="B14" s="7"/>
      <c r="C14" s="7"/>
      <c r="D14" s="7"/>
    </row>
    <row r="15" spans="1:8">
      <c r="A15" s="7" t="s">
        <v>197</v>
      </c>
      <c r="B15" s="7"/>
      <c r="C15" s="7"/>
      <c r="D15" s="7"/>
    </row>
    <row r="16" spans="1:8">
      <c r="A16" s="7" t="s">
        <v>198</v>
      </c>
      <c r="B16" s="7"/>
      <c r="C16" s="7"/>
      <c r="D16" s="7"/>
    </row>
    <row r="17" spans="1:8">
      <c r="A17" s="7" t="s">
        <v>199</v>
      </c>
      <c r="B17" s="7"/>
      <c r="C17" s="7"/>
      <c r="D17" s="7"/>
    </row>
    <row r="18" spans="1:8">
      <c r="A18" s="7" t="s">
        <v>200</v>
      </c>
      <c r="B18" s="7"/>
      <c r="C18" s="7"/>
      <c r="D18" s="7"/>
    </row>
    <row r="21" spans="1:8">
      <c r="A21" s="19" t="s">
        <v>201</v>
      </c>
      <c r="B21" s="19"/>
      <c r="C21" s="19"/>
      <c r="D21" s="19"/>
      <c r="E21" s="19"/>
      <c r="F21" s="19"/>
      <c r="G21" s="19"/>
      <c r="H21" s="19"/>
    </row>
    <row r="22" spans="1:8">
      <c r="A22" s="6" t="s">
        <v>113</v>
      </c>
      <c r="B22" s="6" t="s">
        <v>114</v>
      </c>
    </row>
    <row r="23" spans="1:8">
      <c r="A23" s="7" t="s">
        <v>202</v>
      </c>
      <c r="B23" s="13"/>
    </row>
    <row r="24" spans="1:8">
      <c r="A24" s="7" t="s">
        <v>203</v>
      </c>
      <c r="B24" s="13"/>
    </row>
    <row r="25" spans="1:8">
      <c r="A25" s="7" t="s">
        <v>204</v>
      </c>
      <c r="B25" s="13"/>
    </row>
    <row r="28" spans="1:8">
      <c r="A28" s="19" t="s">
        <v>205</v>
      </c>
      <c r="B28" s="19"/>
      <c r="C28" s="19"/>
      <c r="D28" s="19"/>
      <c r="E28" s="19"/>
      <c r="F28" s="19"/>
      <c r="G28" s="19"/>
      <c r="H28" s="19"/>
    </row>
    <row r="29" spans="1:8">
      <c r="A29" s="6" t="s">
        <v>183</v>
      </c>
      <c r="B29" s="6" t="s">
        <v>77</v>
      </c>
      <c r="C29" s="6" t="s">
        <v>131</v>
      </c>
    </row>
    <row r="30" spans="1:8">
      <c r="A30" s="7" t="s">
        <v>132</v>
      </c>
      <c r="B30" s="8"/>
      <c r="C30" s="5" t="s">
        <v>159</v>
      </c>
    </row>
    <row r="31" spans="1:8">
      <c r="A31" s="7" t="s">
        <v>206</v>
      </c>
      <c r="B31" s="7" t="s">
        <v>207</v>
      </c>
      <c r="C31" s="5" t="s">
        <v>208</v>
      </c>
    </row>
  </sheetData>
  <mergeCells count="6">
    <mergeCell ref="A28:H28"/>
    <mergeCell ref="A1:H2"/>
    <mergeCell ref="A4:H4"/>
    <mergeCell ref="A5:H9"/>
    <mergeCell ref="A11:H11"/>
    <mergeCell ref="A21:H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1. Portada</vt:lpstr>
      <vt:lpstr>2. Caso empresarial</vt:lpstr>
      <vt:lpstr>3. Documento 1 - Resultados</vt:lpstr>
      <vt:lpstr>4. Documento 2 - Operación</vt:lpstr>
      <vt:lpstr>5. Documento 3 - Deuda</vt:lpstr>
      <vt:lpstr>6. Paso 1 - FCFE desde UN</vt:lpstr>
      <vt:lpstr>7. Paso 2 - FCFE desde FCFF</vt:lpstr>
      <vt:lpstr>8. Interpretación</vt:lpstr>
      <vt:lpstr>9. Análisis de escenarios</vt:lpstr>
      <vt:lpstr>10. Autoevaluación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Oyaque Mora Silvia Melinda</cp:lastModifiedBy>
  <dcterms:created xsi:type="dcterms:W3CDTF">2026-07-20T17:51:55Z</dcterms:created>
  <dcterms:modified xsi:type="dcterms:W3CDTF">2026-07-20T17:51:55Z</dcterms:modified>
</cp:coreProperties>
</file>