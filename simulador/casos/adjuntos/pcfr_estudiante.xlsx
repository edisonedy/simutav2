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Desktop\JULIO A DICIEMBRE 2026\VALORACIÓN DE EMPRESAS\"/>
    </mc:Choice>
  </mc:AlternateContent>
  <xr:revisionPtr revIDLastSave="0" documentId="8_{4F4555F4-F107-4722-A1AA-801AA151182D}" xr6:coauthVersionLast="47" xr6:coauthVersionMax="47" xr10:uidLastSave="{00000000-0000-0000-0000-000000000000}"/>
  <bookViews>
    <workbookView xWindow="-110" yWindow="-110" windowWidth="19420" windowHeight="11500" firstSheet="7" activeTab="8" xr2:uid="{00000000-000D-0000-FFFF-FFFF00000000}"/>
  </bookViews>
  <sheets>
    <sheet name="1. Portada" sheetId="1" r:id="rId1"/>
    <sheet name="2. Caso empresarial" sheetId="2" r:id="rId2"/>
    <sheet name="3. Documento 1 - Flujo" sheetId="3" r:id="rId3"/>
    <sheet name="4. Documento 2 - Mercado" sheetId="4" r:id="rId4"/>
    <sheet name="5. Paso 1 - CFPS" sheetId="5" r:id="rId5"/>
    <sheet name="6. Paso 2 - PCFR" sheetId="6" r:id="rId6"/>
    <sheet name="7. Empresas comparables" sheetId="7" r:id="rId7"/>
    <sheet name="8. Precio implícito" sheetId="8" r:id="rId8"/>
    <sheet name="10. Interpretación final" sheetId="10" r:id="rId9"/>
  </sheet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7" i="8" l="1"/>
  <c r="E26" i="8"/>
  <c r="E25" i="8"/>
  <c r="E24" i="8"/>
  <c r="F19" i="8"/>
  <c r="F18" i="8"/>
  <c r="F17" i="8"/>
  <c r="F16" i="8"/>
  <c r="F15" i="8"/>
  <c r="E24" i="7"/>
  <c r="E23" i="7"/>
  <c r="E22" i="7"/>
  <c r="F18" i="6"/>
  <c r="F17" i="6"/>
  <c r="F16" i="6"/>
  <c r="F15" i="6"/>
  <c r="F18" i="5"/>
  <c r="F17" i="5"/>
  <c r="F16" i="5"/>
  <c r="F15" i="5"/>
  <c r="F24" i="4"/>
  <c r="F23" i="4"/>
  <c r="F22" i="4"/>
  <c r="B16" i="4"/>
  <c r="F25" i="3"/>
  <c r="F24" i="3"/>
  <c r="F23" i="3"/>
  <c r="B18" i="3"/>
</calcChain>
</file>

<file path=xl/sharedStrings.xml><?xml version="1.0" encoding="utf-8"?>
<sst xmlns="http://schemas.openxmlformats.org/spreadsheetml/2006/main" count="261" uniqueCount="193">
  <si>
    <t>UNIDAD 4.2 · PCFR (PRECIO / FLUJO DE CAJA)</t>
  </si>
  <si>
    <t>WORKBOOK PRO PARA ESTUDIANTES · INDUSTRIA TUNGURAHUA S.A.</t>
  </si>
  <si>
    <t>Laboratorio financiero para calcular el Flujo de Caja por Acción (CFPS), el múltiplo PCFR, compararlo con empresas similares y estimar un precio implícito por acción.</t>
  </si>
  <si>
    <t>DATOS DEL ESTUDIANTE</t>
  </si>
  <si>
    <t>Nombres y apellidos</t>
  </si>
  <si>
    <t>Curso</t>
  </si>
  <si>
    <t>Paralelo</t>
  </si>
  <si>
    <t>Docente</t>
  </si>
  <si>
    <t>Fecha</t>
  </si>
  <si>
    <t>RUTA DE APRENDIZAJE</t>
  </si>
  <si>
    <t>Paso 1</t>
  </si>
  <si>
    <t>Identificar el flujo de caja operativo</t>
  </si>
  <si>
    <t>Paso 2</t>
  </si>
  <si>
    <t>Determinar las acciones en circulación</t>
  </si>
  <si>
    <t>Paso 3</t>
  </si>
  <si>
    <t>Calcular el flujo de caja por acción (CFPS)</t>
  </si>
  <si>
    <t>Paso 4</t>
  </si>
  <si>
    <t>Identificar el precio de mercado</t>
  </si>
  <si>
    <t>Paso 5</t>
  </si>
  <si>
    <t>Calcular el PCFR</t>
  </si>
  <si>
    <t>Paso 6</t>
  </si>
  <si>
    <t>Comparar con empresas similares</t>
  </si>
  <si>
    <t>Paso 7</t>
  </si>
  <si>
    <t>Estimar el precio implícito</t>
  </si>
  <si>
    <t>Paso 8</t>
  </si>
  <si>
    <t>Interpretar y analizar sensibilidad</t>
  </si>
  <si>
    <t>CASO EMPRESARIAL Y DOCUMENTOS DE RESPALDO</t>
  </si>
  <si>
    <t>CONTEXTO DEL CASO</t>
  </si>
  <si>
    <t>Industria Tungurahua S.A. desea analizar cuánto está pagando el mercado por cada dólar de flujo de caja operativo generado por acción. La empresa será comparada con tres compañías similares del sector para determinar si su valoración relativa parece alta, baja o razonable.</t>
  </si>
  <si>
    <t>OBJETIVO DE APRENDIZAJE</t>
  </si>
  <si>
    <t>Calcular e interpretar el múltiplo PCFR, compararlo con referentes sectoriales y estimar un precio implícito por acción mediante valoración relativa.</t>
  </si>
  <si>
    <t>DOCUMENTOS DISPONIBLES</t>
  </si>
  <si>
    <t>Documento</t>
  </si>
  <si>
    <t>Contenido</t>
  </si>
  <si>
    <t>Uso en el ejercicio</t>
  </si>
  <si>
    <t>Documento 1</t>
  </si>
  <si>
    <t>Estado de Flujo de Efectivo</t>
  </si>
  <si>
    <t>Obtener el flujo de caja operativo.</t>
  </si>
  <si>
    <t>Documento 2</t>
  </si>
  <si>
    <t>Información accionaria</t>
  </si>
  <si>
    <t>Obtener acciones y precio de mercado.</t>
  </si>
  <si>
    <t>Documento 3</t>
  </si>
  <si>
    <t>Empresas comparables</t>
  </si>
  <si>
    <t>Calcular múltiplos sectoriales.</t>
  </si>
  <si>
    <t>Documento 4</t>
  </si>
  <si>
    <t>Hoja de trabajo</t>
  </si>
  <si>
    <t>Calcular CFPS, PCFR y precio implícito.</t>
  </si>
  <si>
    <t>INSTRUCCIONES</t>
  </si>
  <si>
    <t>1. Lea cada documento antes de calcular.
2. Use el flujo de caja operativo como base del PCFR.
3. Complete únicamente las celdas amarillas.
4. Escriba la operación antes del resultado.
5. Compare el PCFR con empresas similares.
6. No interprete un múltiplo alto o bajo de forma aislada.</t>
  </si>
  <si>
    <t>DOCUMENTO 1 · ESTADO DE FLUJO DE EFECTIVO</t>
  </si>
  <si>
    <t>📘 RECORDATORIO</t>
  </si>
  <si>
    <t>Para este ejercicio se utilizará el Flujo de Caja Operativo (FCO), porque representa el efectivo generado por las actividades ordinarias antes de inversiones y financiamiento.
No debe confundirse con FCFF ni FCFE.</t>
  </si>
  <si>
    <t>FLUJO DE EFECTIVO 2025</t>
  </si>
  <si>
    <t>Concepto</t>
  </si>
  <si>
    <t>Valor (USD)</t>
  </si>
  <si>
    <t>Clasificación</t>
  </si>
  <si>
    <t>Uso en PCFR</t>
  </si>
  <si>
    <t>Flujo de caja operativo</t>
  </si>
  <si>
    <t>Operación</t>
  </si>
  <si>
    <t>Base del cálculo</t>
  </si>
  <si>
    <t>Compra de maquinaria</t>
  </si>
  <si>
    <t>Inversión</t>
  </si>
  <si>
    <t>No se usa directamente</t>
  </si>
  <si>
    <t>Nueva deuda recibida</t>
  </si>
  <si>
    <t>Financiamiento</t>
  </si>
  <si>
    <t>Amortización de deuda</t>
  </si>
  <si>
    <t>Variación neta de efectivo</t>
  </si>
  <si>
    <t>Resultado</t>
  </si>
  <si>
    <t>Información complementaria</t>
  </si>
  <si>
    <t>ACTIVIDAD DEL ESTUDIANTE</t>
  </si>
  <si>
    <t>Paso</t>
  </si>
  <si>
    <t>Operación / explicación</t>
  </si>
  <si>
    <t>Respuesta</t>
  </si>
  <si>
    <t>Resultado técnico</t>
  </si>
  <si>
    <t>Estado</t>
  </si>
  <si>
    <t>Flujo de caja utilizado</t>
  </si>
  <si>
    <t>¿Se utiliza FCFF?</t>
  </si>
  <si>
    <t>No</t>
  </si>
  <si>
    <t>¿Se utiliza FCFE?</t>
  </si>
  <si>
    <t>DOCUMENTO 2 · INFORMACIÓN ACCIONARIA Y DE MERCADO</t>
  </si>
  <si>
    <t>El Flujo de Caja por Acción se obtiene dividiendo el flujo de caja operativo total entre las acciones en circulación.
CFPS = Flujo de Caja Operativo ÷ Número de Acciones</t>
  </si>
  <si>
    <t>INFORME DE MERCADO</t>
  </si>
  <si>
    <t>Dato</t>
  </si>
  <si>
    <t>Explicación</t>
  </si>
  <si>
    <t>Acciones en circulación</t>
  </si>
  <si>
    <t>Acciones ordinarias emitidas y vigentes.</t>
  </si>
  <si>
    <t>Precio de mercado por acción</t>
  </si>
  <si>
    <t>Cotización utilizada en la valoración.</t>
  </si>
  <si>
    <t>Capitalización de mercado</t>
  </si>
  <si>
    <t>Precio × acciones.</t>
  </si>
  <si>
    <t>Unidad del múltiplo</t>
  </si>
  <si>
    <t>Veces</t>
  </si>
  <si>
    <t>El PCFR se expresa como múltiplo.</t>
  </si>
  <si>
    <t>Precio por acción</t>
  </si>
  <si>
    <t>PASO 1 · CALCULAR EL FLUJO DE CAJA POR ACCIÓN (CFPS)</t>
  </si>
  <si>
    <t>📐 FÓRMULA EN TEXTO</t>
  </si>
  <si>
    <t>CFPS = Flujo de Caja Operativo ÷ Número de Acciones
El CFPS muestra cuánto efectivo operativo genera la empresa por cada acción en circulación.</t>
  </si>
  <si>
    <t>HOJA DE TRABAJO</t>
  </si>
  <si>
    <t>Flujo de Caja Operativo</t>
  </si>
  <si>
    <t>Número de acciones</t>
  </si>
  <si>
    <t>CFPS</t>
  </si>
  <si>
    <t>Unidad</t>
  </si>
  <si>
    <t>USD por acción</t>
  </si>
  <si>
    <t>OPERACIÓN COMPLETA</t>
  </si>
  <si>
    <t>Elemento</t>
  </si>
  <si>
    <t>Respuesta del estudiante</t>
  </si>
  <si>
    <t>Orientación</t>
  </si>
  <si>
    <t>Sustitución</t>
  </si>
  <si>
    <t>Interpretación</t>
  </si>
  <si>
    <t>PASO 2 · CALCULAR EL MÚLTIPLO PCFR</t>
  </si>
  <si>
    <t>PCFR = Precio de Mercado por Acción ÷ Flujo de Caja por Acción
El resultado indica cuántas veces paga el mercado por cada dólar de flujo de caja generado por acción.</t>
  </si>
  <si>
    <t>Precio de mercado</t>
  </si>
  <si>
    <t>PCFR</t>
  </si>
  <si>
    <t>INTERPRETACIÓN INICIAL</t>
  </si>
  <si>
    <t>Pregunta</t>
  </si>
  <si>
    <t>¿Qué significa 8,00x?</t>
  </si>
  <si>
    <t>El mercado paga ocho veces el flujo de caja por acción.</t>
  </si>
  <si>
    <t>¿Puede concluirse si es alto o bajo sin comparar?</t>
  </si>
  <si>
    <t>No; requiere referentes sectoriales.</t>
  </si>
  <si>
    <t>¿El PCFR mide rentabilidad absoluta?</t>
  </si>
  <si>
    <t>No; es un múltiplo de valoración relativa.</t>
  </si>
  <si>
    <t>COMPARACIÓN CON EMPRESAS SIMILARES</t>
  </si>
  <si>
    <t>Un múltiplo debe interpretarse frente a empresas comparables. Para reducir el efecto de valores extremos, pueden utilizarse el promedio y la mediana sectorial.</t>
  </si>
  <si>
    <t>MÚLTIPLOS COMPARABLES</t>
  </si>
  <si>
    <t>Empresa</t>
  </si>
  <si>
    <t>Precio por acción (USD)</t>
  </si>
  <si>
    <t>CFPS (USD)</t>
  </si>
  <si>
    <t>Comentario</t>
  </si>
  <si>
    <t>Empresa A</t>
  </si>
  <si>
    <t>Empresa B</t>
  </si>
  <si>
    <t>Empresa C</t>
  </si>
  <si>
    <t>Industria Tungurahua S.A.</t>
  </si>
  <si>
    <t>Empresa objetivo</t>
  </si>
  <si>
    <t>ESTADÍSTICOS SECTORIALES</t>
  </si>
  <si>
    <t>Indicador</t>
  </si>
  <si>
    <t>PCFR promedio</t>
  </si>
  <si>
    <t>PCFR mediana</t>
  </si>
  <si>
    <t>PCFR empresa objetivo</t>
  </si>
  <si>
    <t>ANÁLISIS COMPARATIVO</t>
  </si>
  <si>
    <t>¿El PCFR objetivo es menor o mayor que el promedio?</t>
  </si>
  <si>
    <t>Es ligeramente menor.</t>
  </si>
  <si>
    <t>¿Esto podría sugerir subvaloración?</t>
  </si>
  <si>
    <t>Podría sugerirla, sujeto a riesgo y crecimiento.</t>
  </si>
  <si>
    <t>¿Por qué conviene revisar la mediana?</t>
  </si>
  <si>
    <t>Reduce el efecto de valores extremos.</t>
  </si>
  <si>
    <t>ESTIMACIÓN DEL PRECIO IMPLÍCITO POR ACCIÓN</t>
  </si>
  <si>
    <t>Precio Implícito = CFPS de la empresa objetivo × PCFR de referencia
El múltiplo de referencia puede ser el promedio o la mediana de empresas comparables.</t>
  </si>
  <si>
    <t>VALORACIÓN RELATIVA</t>
  </si>
  <si>
    <t>Origen</t>
  </si>
  <si>
    <t>CFPS empresa objetivo</t>
  </si>
  <si>
    <t>PCFR promedio sector</t>
  </si>
  <si>
    <t>Comparables</t>
  </si>
  <si>
    <t>Precio implícito con promedio</t>
  </si>
  <si>
    <t>CFPS × promedio</t>
  </si>
  <si>
    <t>PCFR mediana sector</t>
  </si>
  <si>
    <t>Precio implícito con mediana</t>
  </si>
  <si>
    <t>CFPS × mediana</t>
  </si>
  <si>
    <t>COMPARACIÓN CON EL MERCADO</t>
  </si>
  <si>
    <t>Precio observado</t>
  </si>
  <si>
    <t>Precio implícito promedio</t>
  </si>
  <si>
    <t>Referencia sectorial</t>
  </si>
  <si>
    <t>Diferencia</t>
  </si>
  <si>
    <t>Implícito − mercado</t>
  </si>
  <si>
    <t>Potencial</t>
  </si>
  <si>
    <t>Diferencia relativa</t>
  </si>
  <si>
    <t>Acciones</t>
  </si>
  <si>
    <t>INTERPRETACIÓN, CONCLUSIONES Y AUTOEVALUACIÓN</t>
  </si>
  <si>
    <t>📘 IDEA CLAVE</t>
  </si>
  <si>
    <t>El PCFR es un múltiplo de valoración relativa. Un valor menor que el sector puede sugerir una valoración atractiva, pero también puede reflejar mayor riesgo, menor crecimiento o menor calidad del flujo de caja.</t>
  </si>
  <si>
    <t>RESULTADOS DEL CASO</t>
  </si>
  <si>
    <t>Lectura financiera</t>
  </si>
  <si>
    <t>Efectivo generado por la operación.</t>
  </si>
  <si>
    <t>Base para calcular CFPS.</t>
  </si>
  <si>
    <t>Flujo por cada acción.</t>
  </si>
  <si>
    <t>Cotización observada.</t>
  </si>
  <si>
    <t>Veces que paga el mercado por el flujo.</t>
  </si>
  <si>
    <t>Referencia comparativa.</t>
  </si>
  <si>
    <t>PREGUNTAS DE ANÁLISIS</t>
  </si>
  <si>
    <t>¿Por qué se utiliza el flujo de caja operativo?</t>
  </si>
  <si>
    <t>¿Qué significa que el PCFR sea 8,00x?</t>
  </si>
  <si>
    <t>¿Por qué debe compararse con empresas similares?</t>
  </si>
  <si>
    <t>¿Un PCFR bajo siempre significa oportunidad de compra?</t>
  </si>
  <si>
    <t>¿Qué efecto tendría una caída del flujo operativo?</t>
  </si>
  <si>
    <t>Conclusión para un inversionista</t>
  </si>
  <si>
    <t>AUTOEVALUACIÓN</t>
  </si>
  <si>
    <t>Criterio</t>
  </si>
  <si>
    <t>Sí</t>
  </si>
  <si>
    <t>En proceso</t>
  </si>
  <si>
    <t>Identifiqué correctamente el flujo utilizado</t>
  </si>
  <si>
    <t>Calculé correctamente el CFPS</t>
  </si>
  <si>
    <t>Calculé e interpreté el PCFR</t>
  </si>
  <si>
    <t>Comparé con promedio y mediana</t>
  </si>
  <si>
    <t>Puedo explicar las limitaciones del múltiplo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</si>
</sst>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Red]\(\$#,##0.00\);\-"/>
    <numFmt numFmtId="165" formatCode="#,##0;[Red]\(#,##0\);\-"/>
    <numFmt numFmtId="166" formatCode="0.00\x"/>
  </numFmts>
  <fonts count="7">
    <font>
      <sz val="11"/>
      <name val="Carlito"/>
    </font>
    <font>
      <b/>
      <sz val="16"/>
      <color rgb="FFFFFFFF"/>
      <name val="Carlito"/>
    </font>
    <font>
      <b/>
      <sz val="18"/>
      <color rgb="FF173B5F"/>
      <name val="Carlito"/>
    </font>
    <font>
      <b/>
      <sz val="11"/>
      <color rgb="FFFFFFFF"/>
      <name val="Carlito"/>
    </font>
    <font>
      <b/>
      <sz val="11"/>
      <color rgb="FF173B5F"/>
      <name val="Carlito"/>
    </font>
    <font>
      <sz val="11"/>
      <color rgb="FF0000FF"/>
      <name val="Carlito"/>
    </font>
    <font>
      <sz val="11"/>
      <color rgb="FF173B5F"/>
      <name val="Carlito"/>
    </font>
  </fonts>
  <fills count="9">
    <fill>
      <patternFill patternType="none"/>
    </fill>
    <fill>
      <patternFill patternType="gray125"/>
    </fill>
    <fill>
      <patternFill patternType="solid">
        <fgColor rgb="FF173B5F"/>
      </patternFill>
    </fill>
    <fill>
      <patternFill patternType="solid">
        <fgColor rgb="FFD9EAF7"/>
      </patternFill>
    </fill>
    <fill>
      <patternFill patternType="solid">
        <fgColor rgb="FFEEF5FA"/>
      </patternFill>
    </fill>
    <fill>
      <patternFill patternType="solid">
        <fgColor rgb="FFFFF2CC"/>
      </patternFill>
    </fill>
    <fill>
      <patternFill patternType="solid">
        <fgColor rgb="FFEEE7FF"/>
      </patternFill>
    </fill>
    <fill>
      <patternFill patternType="solid">
        <fgColor rgb="FF2F6F9F"/>
      </patternFill>
    </fill>
    <fill>
      <patternFill patternType="solid">
        <fgColor rgb="FFE2F0D9"/>
      </patternFill>
    </fill>
  </fills>
  <borders count="1">
    <border>
      <left/>
      <right/>
      <top/>
      <bottom/>
      <diagonal/>
    </border>
  </borders>
  <cellStyleXfs count="1">
    <xf numFmtId="0" fontId="0" fillId="0" borderId="0"/>
  </cellStyleXfs>
  <cellXfs count="27">
    <xf numFmtId="0" fontId="0" fillId="0" borderId="0" xfId="0"/>
    <xf numFmtId="0" fontId="3" fillId="2" borderId="0" xfId="0" applyNumberFormat="1" applyFont="1" applyFill="1" applyBorder="1"/>
    <xf numFmtId="0" fontId="4" fillId="3" borderId="0" xfId="0" applyNumberFormat="1" applyFont="1" applyFill="1" applyBorder="1"/>
    <xf numFmtId="0" fontId="5" fillId="5" borderId="0" xfId="0" applyNumberFormat="1" applyFont="1" applyFill="1" applyBorder="1"/>
    <xf numFmtId="0" fontId="4" fillId="6" borderId="0" xfId="0" applyNumberFormat="1" applyFont="1" applyFill="1" applyBorder="1"/>
    <xf numFmtId="0" fontId="0" fillId="0" borderId="0" xfId="0" applyNumberFormat="1" applyFont="1" applyFill="1" applyBorder="1" applyAlignment="1">
      <alignment wrapText="1"/>
    </xf>
    <xf numFmtId="0" fontId="3" fillId="7" borderId="0" xfId="0" applyNumberFormat="1" applyFont="1" applyFill="1" applyBorder="1" applyAlignment="1">
      <alignment horizontal="center" vertical="center" wrapText="1"/>
    </xf>
    <xf numFmtId="0" fontId="0" fillId="0" borderId="0" xfId="0" applyNumberFormat="1" applyFont="1" applyFill="1" applyBorder="1"/>
    <xf numFmtId="164" fontId="0" fillId="0" borderId="0" xfId="0" applyNumberFormat="1" applyFont="1" applyFill="1" applyBorder="1"/>
    <xf numFmtId="0" fontId="4" fillId="8" borderId="0" xfId="0" applyNumberFormat="1" applyFont="1" applyFill="1" applyBorder="1"/>
    <xf numFmtId="164" fontId="4" fillId="8" borderId="0" xfId="0" applyNumberFormat="1" applyFont="1" applyFill="1" applyBorder="1"/>
    <xf numFmtId="164" fontId="5" fillId="5" borderId="0" xfId="0" applyNumberFormat="1" applyFont="1" applyFill="1" applyBorder="1"/>
    <xf numFmtId="165" fontId="0" fillId="0" borderId="0" xfId="0" applyNumberFormat="1" applyFont="1" applyFill="1" applyBorder="1"/>
    <xf numFmtId="165" fontId="5" fillId="5" borderId="0" xfId="0" applyNumberFormat="1" applyFont="1" applyFill="1" applyBorder="1"/>
    <xf numFmtId="166" fontId="5" fillId="5" borderId="0" xfId="0" applyNumberFormat="1" applyFont="1" applyFill="1" applyBorder="1"/>
    <xf numFmtId="0" fontId="5" fillId="5" borderId="0" xfId="0" applyNumberFormat="1" applyFont="1" applyFill="1" applyBorder="1" applyAlignment="1">
      <alignment wrapText="1"/>
    </xf>
    <xf numFmtId="166" fontId="0" fillId="0" borderId="0" xfId="0" applyNumberFormat="1" applyFont="1" applyFill="1" applyBorder="1"/>
    <xf numFmtId="10" fontId="5" fillId="5" borderId="0" xfId="0" applyNumberFormat="1" applyFont="1" applyFill="1" applyBorder="1"/>
    <xf numFmtId="10" fontId="0" fillId="0" borderId="0" xfId="0" applyNumberFormat="1" applyFont="1" applyFill="1" applyBorder="1"/>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horizontal="center" vertical="center"/>
    </xf>
    <xf numFmtId="0" fontId="0" fillId="4" borderId="0" xfId="0" applyNumberFormat="1" applyFont="1" applyFill="1" applyBorder="1" applyAlignment="1">
      <alignment horizontal="center" vertical="center" wrapText="1"/>
    </xf>
    <xf numFmtId="0" fontId="3" fillId="2" borderId="0" xfId="0" applyNumberFormat="1" applyFont="1" applyFill="1" applyBorder="1" applyAlignment="1">
      <alignment horizontal="left" vertical="center"/>
    </xf>
    <xf numFmtId="0" fontId="4" fillId="6" borderId="0" xfId="0" applyNumberFormat="1" applyFont="1" applyFill="1" applyBorder="1"/>
    <xf numFmtId="0" fontId="6" fillId="4" borderId="0" xfId="0" applyNumberFormat="1" applyFont="1" applyFill="1" applyBorder="1" applyAlignment="1">
      <alignment vertical="top" wrapText="1"/>
    </xf>
    <xf numFmtId="0" fontId="0" fillId="3" borderId="0" xfId="0" applyNumberFormat="1" applyFont="1" applyFill="1" applyBorder="1" applyAlignment="1">
      <alignment vertical="center" wrapText="1"/>
    </xf>
    <xf numFmtId="0" fontId="0" fillId="4" borderId="0"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workbookViewId="0">
      <selection sqref="A1:H2"/>
    </sheetView>
  </sheetViews>
  <sheetFormatPr baseColWidth="10" defaultColWidth="8.6640625" defaultRowHeight="14"/>
  <cols>
    <col min="1" max="1" width="28" customWidth="1"/>
    <col min="2" max="2" width="72" customWidth="1"/>
    <col min="3" max="8" width="14" customWidth="1"/>
  </cols>
  <sheetData>
    <row r="1" spans="1:8">
      <c r="A1" s="19" t="s">
        <v>0</v>
      </c>
      <c r="B1" s="19"/>
      <c r="C1" s="19"/>
      <c r="D1" s="19"/>
      <c r="E1" s="19"/>
      <c r="F1" s="19"/>
      <c r="G1" s="19"/>
      <c r="H1" s="19"/>
    </row>
    <row r="2" spans="1:8">
      <c r="A2" s="19"/>
      <c r="B2" s="19"/>
      <c r="C2" s="19"/>
      <c r="D2" s="19"/>
      <c r="E2" s="19"/>
      <c r="F2" s="19"/>
      <c r="G2" s="19"/>
      <c r="H2" s="19"/>
    </row>
    <row r="4" spans="1:8">
      <c r="A4" s="20" t="s">
        <v>1</v>
      </c>
      <c r="B4" s="20"/>
      <c r="C4" s="20"/>
      <c r="D4" s="20"/>
      <c r="E4" s="20"/>
      <c r="F4" s="20"/>
      <c r="G4" s="20"/>
      <c r="H4" s="20"/>
    </row>
    <row r="5" spans="1:8">
      <c r="A5" s="20"/>
      <c r="B5" s="20"/>
      <c r="C5" s="20"/>
      <c r="D5" s="20"/>
      <c r="E5" s="20"/>
      <c r="F5" s="20"/>
      <c r="G5" s="20"/>
      <c r="H5" s="20"/>
    </row>
    <row r="6" spans="1:8">
      <c r="A6" s="20"/>
      <c r="B6" s="20"/>
      <c r="C6" s="20"/>
      <c r="D6" s="20"/>
      <c r="E6" s="20"/>
      <c r="F6" s="20"/>
      <c r="G6" s="20"/>
      <c r="H6" s="20"/>
    </row>
    <row r="8" spans="1:8">
      <c r="A8" s="21" t="s">
        <v>2</v>
      </c>
      <c r="B8" s="21"/>
      <c r="C8" s="21"/>
      <c r="D8" s="21"/>
      <c r="E8" s="21"/>
      <c r="F8" s="21"/>
      <c r="G8" s="21"/>
      <c r="H8" s="21"/>
    </row>
    <row r="9" spans="1:8">
      <c r="A9" s="21"/>
      <c r="B9" s="21"/>
      <c r="C9" s="21"/>
      <c r="D9" s="21"/>
      <c r="E9" s="21"/>
      <c r="F9" s="21"/>
      <c r="G9" s="21"/>
      <c r="H9" s="21"/>
    </row>
    <row r="10" spans="1:8">
      <c r="A10" s="21"/>
      <c r="B10" s="21"/>
      <c r="C10" s="21"/>
      <c r="D10" s="21"/>
      <c r="E10" s="21"/>
      <c r="F10" s="21"/>
      <c r="G10" s="21"/>
      <c r="H10" s="21"/>
    </row>
    <row r="11" spans="1:8">
      <c r="A11" s="21"/>
      <c r="B11" s="21"/>
      <c r="C11" s="21"/>
      <c r="D11" s="21"/>
      <c r="E11" s="21"/>
      <c r="F11" s="21"/>
      <c r="G11" s="21"/>
      <c r="H11" s="21"/>
    </row>
    <row r="14" spans="1:8">
      <c r="A14" s="1" t="s">
        <v>3</v>
      </c>
      <c r="B14" s="1"/>
    </row>
    <row r="15" spans="1:8">
      <c r="A15" s="2" t="s">
        <v>4</v>
      </c>
      <c r="B15" s="3"/>
    </row>
    <row r="16" spans="1:8">
      <c r="A16" s="2" t="s">
        <v>5</v>
      </c>
      <c r="B16" s="3"/>
    </row>
    <row r="17" spans="1:8">
      <c r="A17" s="2" t="s">
        <v>6</v>
      </c>
      <c r="B17" s="3"/>
    </row>
    <row r="18" spans="1:8">
      <c r="A18" s="2" t="s">
        <v>7</v>
      </c>
      <c r="B18" s="3"/>
    </row>
    <row r="19" spans="1:8">
      <c r="A19" s="2" t="s">
        <v>8</v>
      </c>
      <c r="B19" s="3"/>
    </row>
    <row r="22" spans="1:8">
      <c r="A22" s="22" t="s">
        <v>9</v>
      </c>
      <c r="B22" s="22"/>
      <c r="C22" s="22"/>
      <c r="D22" s="22"/>
      <c r="E22" s="22"/>
      <c r="F22" s="22"/>
      <c r="G22" s="22"/>
      <c r="H22" s="22"/>
    </row>
    <row r="23" spans="1:8">
      <c r="A23" s="4" t="s">
        <v>10</v>
      </c>
      <c r="B23" s="5" t="s">
        <v>11</v>
      </c>
    </row>
    <row r="24" spans="1:8">
      <c r="A24" s="4" t="s">
        <v>12</v>
      </c>
      <c r="B24" s="5" t="s">
        <v>13</v>
      </c>
    </row>
    <row r="25" spans="1:8">
      <c r="A25" s="4" t="s">
        <v>14</v>
      </c>
      <c r="B25" s="5" t="s">
        <v>15</v>
      </c>
    </row>
    <row r="26" spans="1:8">
      <c r="A26" s="4" t="s">
        <v>16</v>
      </c>
      <c r="B26" s="5" t="s">
        <v>17</v>
      </c>
    </row>
    <row r="27" spans="1:8">
      <c r="A27" s="4" t="s">
        <v>18</v>
      </c>
      <c r="B27" s="5" t="s">
        <v>19</v>
      </c>
    </row>
    <row r="28" spans="1:8">
      <c r="A28" s="4" t="s">
        <v>20</v>
      </c>
      <c r="B28" s="5" t="s">
        <v>21</v>
      </c>
    </row>
    <row r="29" spans="1:8">
      <c r="A29" s="4" t="s">
        <v>22</v>
      </c>
      <c r="B29" s="5" t="s">
        <v>23</v>
      </c>
    </row>
    <row r="30" spans="1:8">
      <c r="A30" s="4" t="s">
        <v>24</v>
      </c>
      <c r="B30" s="5" t="s">
        <v>25</v>
      </c>
    </row>
  </sheetData>
  <mergeCells count="4">
    <mergeCell ref="A1:H2"/>
    <mergeCell ref="A4:H6"/>
    <mergeCell ref="A8:H11"/>
    <mergeCell ref="A22:H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4"/>
  <sheetViews>
    <sheetView workbookViewId="0">
      <selection sqref="A1:H2"/>
    </sheetView>
  </sheetViews>
  <sheetFormatPr baseColWidth="10" defaultColWidth="8.6640625" defaultRowHeight="14"/>
  <cols>
    <col min="1" max="1" width="30" customWidth="1"/>
    <col min="2" max="2" width="36" customWidth="1"/>
    <col min="3" max="3" width="72" customWidth="1"/>
    <col min="4" max="8" width="14" customWidth="1"/>
  </cols>
  <sheetData>
    <row r="1" spans="1:8">
      <c r="A1" s="19" t="s">
        <v>26</v>
      </c>
      <c r="B1" s="19"/>
      <c r="C1" s="19"/>
      <c r="D1" s="19"/>
      <c r="E1" s="19"/>
      <c r="F1" s="19"/>
      <c r="G1" s="19"/>
      <c r="H1" s="19"/>
    </row>
    <row r="2" spans="1:8">
      <c r="A2" s="19"/>
      <c r="B2" s="19"/>
      <c r="C2" s="19"/>
      <c r="D2" s="19"/>
      <c r="E2" s="19"/>
      <c r="F2" s="19"/>
      <c r="G2" s="19"/>
      <c r="H2" s="19"/>
    </row>
    <row r="4" spans="1:8">
      <c r="A4" s="23" t="s">
        <v>27</v>
      </c>
      <c r="B4" s="23"/>
      <c r="C4" s="23"/>
      <c r="D4" s="23"/>
      <c r="E4" s="23"/>
      <c r="F4" s="23"/>
      <c r="G4" s="23"/>
      <c r="H4" s="23"/>
    </row>
    <row r="5" spans="1:8">
      <c r="A5" s="24" t="s">
        <v>28</v>
      </c>
      <c r="B5" s="24"/>
      <c r="C5" s="24"/>
      <c r="D5" s="24"/>
      <c r="E5" s="24"/>
      <c r="F5" s="24"/>
      <c r="G5" s="24"/>
      <c r="H5" s="24"/>
    </row>
    <row r="6" spans="1:8">
      <c r="A6" s="24"/>
      <c r="B6" s="24"/>
      <c r="C6" s="24"/>
      <c r="D6" s="24"/>
      <c r="E6" s="24"/>
      <c r="F6" s="24"/>
      <c r="G6" s="24"/>
      <c r="H6" s="24"/>
    </row>
    <row r="7" spans="1:8">
      <c r="A7" s="24"/>
      <c r="B7" s="24"/>
      <c r="C7" s="24"/>
      <c r="D7" s="24"/>
      <c r="E7" s="24"/>
      <c r="F7" s="24"/>
      <c r="G7" s="24"/>
      <c r="H7" s="24"/>
    </row>
    <row r="8" spans="1:8">
      <c r="A8" s="24"/>
      <c r="B8" s="24"/>
      <c r="C8" s="24"/>
      <c r="D8" s="24"/>
      <c r="E8" s="24"/>
      <c r="F8" s="24"/>
      <c r="G8" s="24"/>
      <c r="H8" s="24"/>
    </row>
    <row r="9" spans="1:8">
      <c r="A9" s="24"/>
      <c r="B9" s="24"/>
      <c r="C9" s="24"/>
      <c r="D9" s="24"/>
      <c r="E9" s="24"/>
      <c r="F9" s="24"/>
      <c r="G9" s="24"/>
      <c r="H9" s="24"/>
    </row>
    <row r="11" spans="1:8">
      <c r="A11" s="22" t="s">
        <v>29</v>
      </c>
      <c r="B11" s="22"/>
      <c r="C11" s="22"/>
      <c r="D11" s="22"/>
      <c r="E11" s="22"/>
      <c r="F11" s="22"/>
      <c r="G11" s="22"/>
      <c r="H11" s="22"/>
    </row>
    <row r="12" spans="1:8">
      <c r="A12" s="25" t="s">
        <v>30</v>
      </c>
      <c r="B12" s="25"/>
      <c r="C12" s="25"/>
      <c r="D12" s="25"/>
      <c r="E12" s="25"/>
      <c r="F12" s="25"/>
      <c r="G12" s="25"/>
      <c r="H12" s="25"/>
    </row>
    <row r="13" spans="1:8">
      <c r="A13" s="25"/>
      <c r="B13" s="25"/>
      <c r="C13" s="25"/>
      <c r="D13" s="25"/>
      <c r="E13" s="25"/>
      <c r="F13" s="25"/>
      <c r="G13" s="25"/>
      <c r="H13" s="25"/>
    </row>
    <row r="14" spans="1:8">
      <c r="A14" s="25"/>
      <c r="B14" s="25"/>
      <c r="C14" s="25"/>
      <c r="D14" s="25"/>
      <c r="E14" s="25"/>
      <c r="F14" s="25"/>
      <c r="G14" s="25"/>
      <c r="H14" s="25"/>
    </row>
    <row r="15" spans="1:8">
      <c r="A15" s="25"/>
      <c r="B15" s="25"/>
      <c r="C15" s="25"/>
      <c r="D15" s="25"/>
      <c r="E15" s="25"/>
      <c r="F15" s="25"/>
      <c r="G15" s="25"/>
      <c r="H15" s="25"/>
    </row>
    <row r="17" spans="1:8">
      <c r="A17" s="22" t="s">
        <v>31</v>
      </c>
      <c r="B17" s="22"/>
      <c r="C17" s="22"/>
      <c r="D17" s="22"/>
      <c r="E17" s="22"/>
      <c r="F17" s="22"/>
      <c r="G17" s="22"/>
      <c r="H17" s="22"/>
    </row>
    <row r="18" spans="1:8">
      <c r="A18" s="6" t="s">
        <v>32</v>
      </c>
      <c r="B18" s="6" t="s">
        <v>33</v>
      </c>
      <c r="C18" s="6" t="s">
        <v>34</v>
      </c>
    </row>
    <row r="19" spans="1:8">
      <c r="A19" s="7" t="s">
        <v>35</v>
      </c>
      <c r="B19" s="7" t="s">
        <v>36</v>
      </c>
      <c r="C19" s="5" t="s">
        <v>37</v>
      </c>
    </row>
    <row r="20" spans="1:8">
      <c r="A20" s="7" t="s">
        <v>38</v>
      </c>
      <c r="B20" s="7" t="s">
        <v>39</v>
      </c>
      <c r="C20" s="5" t="s">
        <v>40</v>
      </c>
    </row>
    <row r="21" spans="1:8">
      <c r="A21" s="7" t="s">
        <v>41</v>
      </c>
      <c r="B21" s="7" t="s">
        <v>42</v>
      </c>
      <c r="C21" s="5" t="s">
        <v>43</v>
      </c>
    </row>
    <row r="22" spans="1:8">
      <c r="A22" s="7" t="s">
        <v>44</v>
      </c>
      <c r="B22" s="7" t="s">
        <v>45</v>
      </c>
      <c r="C22" s="5" t="s">
        <v>46</v>
      </c>
    </row>
    <row r="25" spans="1:8">
      <c r="A25" s="22" t="s">
        <v>47</v>
      </c>
      <c r="B25" s="22"/>
      <c r="C25" s="22"/>
      <c r="D25" s="22"/>
      <c r="E25" s="22"/>
      <c r="F25" s="22"/>
      <c r="G25" s="22"/>
      <c r="H25" s="22"/>
    </row>
    <row r="26" spans="1:8">
      <c r="A26" s="26" t="s">
        <v>48</v>
      </c>
      <c r="B26" s="26"/>
      <c r="C26" s="26"/>
      <c r="D26" s="26"/>
      <c r="E26" s="26"/>
      <c r="F26" s="26"/>
      <c r="G26" s="26"/>
      <c r="H26" s="26"/>
    </row>
    <row r="27" spans="1:8">
      <c r="A27" s="26"/>
      <c r="B27" s="26"/>
      <c r="C27" s="26"/>
      <c r="D27" s="26"/>
      <c r="E27" s="26"/>
      <c r="F27" s="26"/>
      <c r="G27" s="26"/>
      <c r="H27" s="26"/>
    </row>
    <row r="28" spans="1:8">
      <c r="A28" s="26"/>
      <c r="B28" s="26"/>
      <c r="C28" s="26"/>
      <c r="D28" s="26"/>
      <c r="E28" s="26"/>
      <c r="F28" s="26"/>
      <c r="G28" s="26"/>
      <c r="H28" s="26"/>
    </row>
    <row r="29" spans="1:8">
      <c r="A29" s="26"/>
      <c r="B29" s="26"/>
      <c r="C29" s="26"/>
      <c r="D29" s="26"/>
      <c r="E29" s="26"/>
      <c r="F29" s="26"/>
      <c r="G29" s="26"/>
      <c r="H29" s="26"/>
    </row>
    <row r="30" spans="1:8">
      <c r="A30" s="26"/>
      <c r="B30" s="26"/>
      <c r="C30" s="26"/>
      <c r="D30" s="26"/>
      <c r="E30" s="26"/>
      <c r="F30" s="26"/>
      <c r="G30" s="26"/>
      <c r="H30" s="26"/>
    </row>
    <row r="31" spans="1:8">
      <c r="A31" s="26"/>
      <c r="B31" s="26"/>
      <c r="C31" s="26"/>
      <c r="D31" s="26"/>
      <c r="E31" s="26"/>
      <c r="F31" s="26"/>
      <c r="G31" s="26"/>
      <c r="H31" s="26"/>
    </row>
    <row r="32" spans="1:8">
      <c r="A32" s="26"/>
      <c r="B32" s="26"/>
      <c r="C32" s="26"/>
      <c r="D32" s="26"/>
      <c r="E32" s="26"/>
      <c r="F32" s="26"/>
      <c r="G32" s="26"/>
      <c r="H32" s="26"/>
    </row>
    <row r="33" spans="1:8">
      <c r="A33" s="26"/>
      <c r="B33" s="26"/>
      <c r="C33" s="26"/>
      <c r="D33" s="26"/>
      <c r="E33" s="26"/>
      <c r="F33" s="26"/>
      <c r="G33" s="26"/>
      <c r="H33" s="26"/>
    </row>
    <row r="34" spans="1:8">
      <c r="A34" s="26"/>
      <c r="B34" s="26"/>
      <c r="C34" s="26"/>
      <c r="D34" s="26"/>
      <c r="E34" s="26"/>
      <c r="F34" s="26"/>
      <c r="G34" s="26"/>
      <c r="H34" s="26"/>
    </row>
  </sheetData>
  <mergeCells count="8">
    <mergeCell ref="A17:H17"/>
    <mergeCell ref="A25:H25"/>
    <mergeCell ref="A26:H34"/>
    <mergeCell ref="A1:H2"/>
    <mergeCell ref="A4:H4"/>
    <mergeCell ref="A5:H9"/>
    <mergeCell ref="A11:H11"/>
    <mergeCell ref="A12:H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topLeftCell="A10" workbookViewId="0">
      <selection activeCell="E24" sqref="E24"/>
    </sheetView>
  </sheetViews>
  <sheetFormatPr baseColWidth="10" defaultColWidth="8.6640625" defaultRowHeight="14"/>
  <cols>
    <col min="1" max="1" width="29.5" customWidth="1"/>
    <col min="2" max="2" width="38" customWidth="1"/>
    <col min="3" max="3" width="52" customWidth="1"/>
    <col min="4" max="5" width="22" customWidth="1"/>
    <col min="6" max="6" width="16" customWidth="1"/>
    <col min="7" max="8" width="14" customWidth="1"/>
  </cols>
  <sheetData>
    <row r="1" spans="1:8">
      <c r="A1" s="19" t="s">
        <v>49</v>
      </c>
      <c r="B1" s="19"/>
      <c r="C1" s="19"/>
      <c r="D1" s="19"/>
      <c r="E1" s="19"/>
      <c r="F1" s="19"/>
      <c r="G1" s="19"/>
      <c r="H1" s="19"/>
    </row>
    <row r="2" spans="1:8">
      <c r="A2" s="19"/>
      <c r="B2" s="19"/>
      <c r="C2" s="19"/>
      <c r="D2" s="19"/>
      <c r="E2" s="19"/>
      <c r="F2" s="19"/>
      <c r="G2" s="19"/>
      <c r="H2" s="19"/>
    </row>
    <row r="4" spans="1:8">
      <c r="A4" s="23" t="s">
        <v>50</v>
      </c>
      <c r="B4" s="23"/>
      <c r="C4" s="23"/>
      <c r="D4" s="23"/>
      <c r="E4" s="23"/>
      <c r="F4" s="23"/>
      <c r="G4" s="23"/>
      <c r="H4" s="23"/>
    </row>
    <row r="5" spans="1:8">
      <c r="A5" s="24" t="s">
        <v>51</v>
      </c>
      <c r="B5" s="24"/>
      <c r="C5" s="24"/>
      <c r="D5" s="24"/>
      <c r="E5" s="24"/>
      <c r="F5" s="24"/>
      <c r="G5" s="24"/>
      <c r="H5" s="24"/>
    </row>
    <row r="6" spans="1:8">
      <c r="A6" s="24"/>
      <c r="B6" s="24"/>
      <c r="C6" s="24"/>
      <c r="D6" s="24"/>
      <c r="E6" s="24"/>
      <c r="F6" s="24"/>
      <c r="G6" s="24"/>
      <c r="H6" s="24"/>
    </row>
    <row r="7" spans="1:8">
      <c r="A7" s="24"/>
      <c r="B7" s="24"/>
      <c r="C7" s="24"/>
      <c r="D7" s="24"/>
      <c r="E7" s="24"/>
      <c r="F7" s="24"/>
      <c r="G7" s="24"/>
      <c r="H7" s="24"/>
    </row>
    <row r="8" spans="1:8">
      <c r="A8" s="24"/>
      <c r="B8" s="24"/>
      <c r="C8" s="24"/>
      <c r="D8" s="24"/>
      <c r="E8" s="24"/>
      <c r="F8" s="24"/>
      <c r="G8" s="24"/>
      <c r="H8" s="24"/>
    </row>
    <row r="9" spans="1:8">
      <c r="A9" s="24"/>
      <c r="B9" s="24"/>
      <c r="C9" s="24"/>
      <c r="D9" s="24"/>
      <c r="E9" s="24"/>
      <c r="F9" s="24"/>
      <c r="G9" s="24"/>
      <c r="H9" s="24"/>
    </row>
    <row r="10" spans="1:8">
      <c r="A10" s="24"/>
      <c r="B10" s="24"/>
      <c r="C10" s="24"/>
      <c r="D10" s="24"/>
      <c r="E10" s="24"/>
      <c r="F10" s="24"/>
      <c r="G10" s="24"/>
      <c r="H10" s="24"/>
    </row>
    <row r="12" spans="1:8">
      <c r="A12" s="22" t="s">
        <v>52</v>
      </c>
      <c r="B12" s="22"/>
      <c r="C12" s="22"/>
      <c r="D12" s="22"/>
      <c r="E12" s="22"/>
      <c r="F12" s="22"/>
      <c r="G12" s="22"/>
      <c r="H12" s="22"/>
    </row>
    <row r="13" spans="1:8">
      <c r="A13" s="6" t="s">
        <v>53</v>
      </c>
      <c r="B13" s="6" t="s">
        <v>54</v>
      </c>
      <c r="C13" s="6" t="s">
        <v>55</v>
      </c>
      <c r="D13" s="6" t="s">
        <v>56</v>
      </c>
    </row>
    <row r="14" spans="1:8">
      <c r="A14" s="7" t="s">
        <v>57</v>
      </c>
      <c r="B14" s="8">
        <v>3600000</v>
      </c>
      <c r="C14" s="7" t="s">
        <v>58</v>
      </c>
      <c r="D14" s="7" t="s">
        <v>59</v>
      </c>
    </row>
    <row r="15" spans="1:8">
      <c r="A15" s="7" t="s">
        <v>60</v>
      </c>
      <c r="B15" s="8">
        <v>-520000</v>
      </c>
      <c r="C15" s="7" t="s">
        <v>61</v>
      </c>
      <c r="D15" s="7" t="s">
        <v>62</v>
      </c>
    </row>
    <row r="16" spans="1:8">
      <c r="A16" s="7" t="s">
        <v>63</v>
      </c>
      <c r="B16" s="8">
        <v>400000</v>
      </c>
      <c r="C16" s="7" t="s">
        <v>64</v>
      </c>
      <c r="D16" s="7" t="s">
        <v>62</v>
      </c>
    </row>
    <row r="17" spans="1:8">
      <c r="A17" s="7" t="s">
        <v>65</v>
      </c>
      <c r="B17" s="8">
        <v>-250000</v>
      </c>
      <c r="C17" s="7" t="s">
        <v>64</v>
      </c>
      <c r="D17" s="7" t="s">
        <v>62</v>
      </c>
    </row>
    <row r="18" spans="1:8">
      <c r="A18" s="9" t="s">
        <v>66</v>
      </c>
      <c r="B18" s="10">
        <f>SUM(B14:B17)</f>
        <v>3230000</v>
      </c>
      <c r="C18" s="9" t="s">
        <v>67</v>
      </c>
      <c r="D18" s="9" t="s">
        <v>68</v>
      </c>
    </row>
    <row r="21" spans="1:8">
      <c r="A21" s="22" t="s">
        <v>69</v>
      </c>
      <c r="B21" s="22"/>
      <c r="C21" s="22"/>
      <c r="D21" s="22"/>
      <c r="E21" s="22"/>
      <c r="F21" s="22"/>
      <c r="G21" s="22"/>
      <c r="H21" s="22"/>
    </row>
    <row r="22" spans="1:8">
      <c r="A22" s="6" t="s">
        <v>70</v>
      </c>
      <c r="B22" s="6" t="s">
        <v>53</v>
      </c>
      <c r="C22" s="6" t="s">
        <v>71</v>
      </c>
      <c r="D22" s="6" t="s">
        <v>72</v>
      </c>
      <c r="E22" s="6" t="s">
        <v>73</v>
      </c>
      <c r="F22" s="6" t="s">
        <v>74</v>
      </c>
    </row>
    <row r="23" spans="1:8">
      <c r="A23" s="7">
        <v>1</v>
      </c>
      <c r="B23" s="7" t="s">
        <v>75</v>
      </c>
      <c r="C23" s="3"/>
      <c r="D23" s="11"/>
      <c r="E23" s="7"/>
      <c r="F23" s="7" t="str">
        <f>IF(D23="","Pendiente",IF(ABS(D23-E23)&lt;0.01,"Correcto","Revisar"))</f>
        <v>Pendiente</v>
      </c>
    </row>
    <row r="24" spans="1:8">
      <c r="A24" s="7">
        <v>2</v>
      </c>
      <c r="B24" s="7" t="s">
        <v>76</v>
      </c>
      <c r="C24" s="3"/>
      <c r="D24" s="3"/>
      <c r="E24" s="7" t="s">
        <v>77</v>
      </c>
      <c r="F24" s="7" t="str">
        <f>IF(D24="","Pendiente",IF(D24=E24,"Correcto","Revisar"))</f>
        <v>Pendiente</v>
      </c>
    </row>
    <row r="25" spans="1:8">
      <c r="A25" s="7">
        <v>3</v>
      </c>
      <c r="B25" s="7" t="s">
        <v>78</v>
      </c>
      <c r="C25" s="3"/>
      <c r="D25" s="3"/>
      <c r="E25" s="7" t="s">
        <v>77</v>
      </c>
      <c r="F25" s="7" t="str">
        <f>IF(D25="","Pendiente",IF(D25=E25,"Correcto","Revisar"))</f>
        <v>Pendiente</v>
      </c>
    </row>
  </sheetData>
  <mergeCells count="5">
    <mergeCell ref="A1:H2"/>
    <mergeCell ref="A4:H4"/>
    <mergeCell ref="A5:H10"/>
    <mergeCell ref="A12:H12"/>
    <mergeCell ref="A21:H21"/>
  </mergeCells>
  <dataValidations count="1">
    <dataValidation type="list" sqref="D24:D25" xr:uid="{00000000-0002-0000-0200-000000000000}">
      <formula1>"Sí,No"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
  <sheetViews>
    <sheetView zoomScale="80" workbookViewId="0">
      <selection activeCell="E25" sqref="E25"/>
    </sheetView>
  </sheetViews>
  <sheetFormatPr baseColWidth="10" defaultColWidth="8.6640625" defaultRowHeight="14"/>
  <cols>
    <col min="1" max="1" width="14" customWidth="1"/>
    <col min="2" max="2" width="40" customWidth="1"/>
    <col min="3" max="3" width="46" customWidth="1"/>
    <col min="4" max="5" width="22" customWidth="1"/>
    <col min="6" max="6" width="16" customWidth="1"/>
    <col min="7" max="8" width="14" customWidth="1"/>
  </cols>
  <sheetData>
    <row r="1" spans="1:8">
      <c r="A1" s="19" t="s">
        <v>79</v>
      </c>
      <c r="B1" s="19"/>
      <c r="C1" s="19"/>
      <c r="D1" s="19"/>
      <c r="E1" s="19"/>
      <c r="F1" s="19"/>
      <c r="G1" s="19"/>
      <c r="H1" s="19"/>
    </row>
    <row r="2" spans="1:8">
      <c r="A2" s="19"/>
      <c r="B2" s="19"/>
      <c r="C2" s="19"/>
      <c r="D2" s="19"/>
      <c r="E2" s="19"/>
      <c r="F2" s="19"/>
      <c r="G2" s="19"/>
      <c r="H2" s="19"/>
    </row>
    <row r="4" spans="1:8">
      <c r="A4" s="23" t="s">
        <v>50</v>
      </c>
      <c r="B4" s="23"/>
      <c r="C4" s="23"/>
      <c r="D4" s="23"/>
      <c r="E4" s="23"/>
      <c r="F4" s="23"/>
      <c r="G4" s="23"/>
      <c r="H4" s="23"/>
    </row>
    <row r="5" spans="1:8">
      <c r="A5" s="24" t="s">
        <v>80</v>
      </c>
      <c r="B5" s="24"/>
      <c r="C5" s="24"/>
      <c r="D5" s="24"/>
      <c r="E5" s="24"/>
      <c r="F5" s="24"/>
      <c r="G5" s="24"/>
      <c r="H5" s="24"/>
    </row>
    <row r="6" spans="1:8">
      <c r="A6" s="24"/>
      <c r="B6" s="24"/>
      <c r="C6" s="24"/>
      <c r="D6" s="24"/>
      <c r="E6" s="24"/>
      <c r="F6" s="24"/>
      <c r="G6" s="24"/>
      <c r="H6" s="24"/>
    </row>
    <row r="7" spans="1:8">
      <c r="A7" s="24"/>
      <c r="B7" s="24"/>
      <c r="C7" s="24"/>
      <c r="D7" s="24"/>
      <c r="E7" s="24"/>
      <c r="F7" s="24"/>
      <c r="G7" s="24"/>
      <c r="H7" s="24"/>
    </row>
    <row r="8" spans="1:8">
      <c r="A8" s="24"/>
      <c r="B8" s="24"/>
      <c r="C8" s="24"/>
      <c r="D8" s="24"/>
      <c r="E8" s="24"/>
      <c r="F8" s="24"/>
      <c r="G8" s="24"/>
      <c r="H8" s="24"/>
    </row>
    <row r="9" spans="1:8">
      <c r="A9" s="24"/>
      <c r="B9" s="24"/>
      <c r="C9" s="24"/>
      <c r="D9" s="24"/>
      <c r="E9" s="24"/>
      <c r="F9" s="24"/>
      <c r="G9" s="24"/>
      <c r="H9" s="24"/>
    </row>
    <row r="10" spans="1:8">
      <c r="A10" s="24"/>
      <c r="B10" s="24"/>
      <c r="C10" s="24"/>
      <c r="D10" s="24"/>
      <c r="E10" s="24"/>
      <c r="F10" s="24"/>
      <c r="G10" s="24"/>
      <c r="H10" s="24"/>
    </row>
    <row r="12" spans="1:8">
      <c r="A12" s="22" t="s">
        <v>81</v>
      </c>
      <c r="B12" s="22"/>
      <c r="C12" s="22"/>
      <c r="D12" s="22"/>
      <c r="E12" s="22"/>
      <c r="F12" s="22"/>
      <c r="G12" s="22"/>
      <c r="H12" s="22"/>
    </row>
    <row r="13" spans="1:8">
      <c r="A13" s="6" t="s">
        <v>53</v>
      </c>
      <c r="B13" s="6" t="s">
        <v>82</v>
      </c>
      <c r="C13" s="6" t="s">
        <v>83</v>
      </c>
    </row>
    <row r="14" spans="1:8">
      <c r="A14" s="7" t="s">
        <v>84</v>
      </c>
      <c r="B14" s="12">
        <v>600000</v>
      </c>
      <c r="C14" s="5" t="s">
        <v>85</v>
      </c>
    </row>
    <row r="15" spans="1:8">
      <c r="A15" s="7" t="s">
        <v>86</v>
      </c>
      <c r="B15" s="8">
        <v>48</v>
      </c>
      <c r="C15" s="5" t="s">
        <v>87</v>
      </c>
    </row>
    <row r="16" spans="1:8">
      <c r="A16" s="7" t="s">
        <v>88</v>
      </c>
      <c r="B16" s="8">
        <f>B14*B15</f>
        <v>28800000</v>
      </c>
      <c r="C16" s="5" t="s">
        <v>89</v>
      </c>
    </row>
    <row r="17" spans="1:8">
      <c r="A17" s="7" t="s">
        <v>90</v>
      </c>
      <c r="B17" s="7" t="s">
        <v>91</v>
      </c>
      <c r="C17" s="5" t="s">
        <v>92</v>
      </c>
    </row>
    <row r="20" spans="1:8">
      <c r="A20" s="22" t="s">
        <v>69</v>
      </c>
      <c r="B20" s="22"/>
      <c r="C20" s="22"/>
      <c r="D20" s="22"/>
      <c r="E20" s="22"/>
      <c r="F20" s="22"/>
      <c r="G20" s="22"/>
      <c r="H20" s="22"/>
    </row>
    <row r="21" spans="1:8">
      <c r="A21" s="6" t="s">
        <v>70</v>
      </c>
      <c r="B21" s="6" t="s">
        <v>53</v>
      </c>
      <c r="C21" s="6" t="s">
        <v>58</v>
      </c>
      <c r="D21" s="6" t="s">
        <v>72</v>
      </c>
      <c r="E21" s="6" t="s">
        <v>73</v>
      </c>
      <c r="F21" s="6" t="s">
        <v>74</v>
      </c>
    </row>
    <row r="22" spans="1:8">
      <c r="A22" s="7">
        <v>1</v>
      </c>
      <c r="B22" s="7" t="s">
        <v>84</v>
      </c>
      <c r="C22" s="3"/>
      <c r="D22" s="13"/>
      <c r="E22" s="7"/>
      <c r="F22" s="7" t="str">
        <f>IF(D22="","Pendiente",IF(ABS(D22-E22)&lt;0.01,"Correcto","Revisar"))</f>
        <v>Pendiente</v>
      </c>
    </row>
    <row r="23" spans="1:8">
      <c r="A23" s="7">
        <v>2</v>
      </c>
      <c r="B23" s="7" t="s">
        <v>93</v>
      </c>
      <c r="C23" s="3"/>
      <c r="D23" s="11"/>
      <c r="E23" s="7"/>
      <c r="F23" s="7" t="str">
        <f>IF(D23="","Pendiente",IF(ABS(D23-E23)&lt;0.01,"Correcto","Revisar"))</f>
        <v>Pendiente</v>
      </c>
    </row>
    <row r="24" spans="1:8">
      <c r="A24" s="7">
        <v>3</v>
      </c>
      <c r="B24" s="7" t="s">
        <v>88</v>
      </c>
      <c r="C24" s="3"/>
      <c r="D24" s="11"/>
      <c r="E24" s="7"/>
      <c r="F24" s="7" t="str">
        <f>IF(D24="","Pendiente",IF(ABS(D24-E24)&lt;0.01,"Correcto","Revisar"))</f>
        <v>Pendiente</v>
      </c>
    </row>
  </sheetData>
  <mergeCells count="5">
    <mergeCell ref="A1:H2"/>
    <mergeCell ref="A4:H4"/>
    <mergeCell ref="A5:H10"/>
    <mergeCell ref="A12:H12"/>
    <mergeCell ref="A20:H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5"/>
  <sheetViews>
    <sheetView topLeftCell="A4" zoomScale="73" workbookViewId="0">
      <selection activeCell="C26" sqref="C26"/>
    </sheetView>
  </sheetViews>
  <sheetFormatPr baseColWidth="10" defaultColWidth="8.6640625" defaultRowHeight="14"/>
  <cols>
    <col min="1" max="1" width="34" customWidth="1"/>
    <col min="2" max="2" width="58" customWidth="1"/>
    <col min="3" max="3" width="56" customWidth="1"/>
    <col min="4" max="5" width="22" customWidth="1"/>
    <col min="6" max="6" width="16" customWidth="1"/>
    <col min="7" max="8" width="14" customWidth="1"/>
  </cols>
  <sheetData>
    <row r="1" spans="1:8">
      <c r="A1" s="19" t="s">
        <v>94</v>
      </c>
      <c r="B1" s="19"/>
      <c r="C1" s="19"/>
      <c r="D1" s="19"/>
      <c r="E1" s="19"/>
      <c r="F1" s="19"/>
      <c r="G1" s="19"/>
      <c r="H1" s="19"/>
    </row>
    <row r="2" spans="1:8">
      <c r="A2" s="19"/>
      <c r="B2" s="19"/>
      <c r="C2" s="19"/>
      <c r="D2" s="19"/>
      <c r="E2" s="19"/>
      <c r="F2" s="19"/>
      <c r="G2" s="19"/>
      <c r="H2" s="19"/>
    </row>
    <row r="4" spans="1:8">
      <c r="A4" s="23" t="s">
        <v>95</v>
      </c>
      <c r="B4" s="23"/>
      <c r="C4" s="23"/>
      <c r="D4" s="23"/>
      <c r="E4" s="23"/>
      <c r="F4" s="23"/>
      <c r="G4" s="23"/>
      <c r="H4" s="23"/>
    </row>
    <row r="5" spans="1:8">
      <c r="A5" s="24" t="s">
        <v>96</v>
      </c>
      <c r="B5" s="24"/>
      <c r="C5" s="24"/>
      <c r="D5" s="24"/>
      <c r="E5" s="24"/>
      <c r="F5" s="24"/>
      <c r="G5" s="24"/>
      <c r="H5" s="24"/>
    </row>
    <row r="6" spans="1:8">
      <c r="A6" s="24"/>
      <c r="B6" s="24"/>
      <c r="C6" s="24"/>
      <c r="D6" s="24"/>
      <c r="E6" s="24"/>
      <c r="F6" s="24"/>
      <c r="G6" s="24"/>
      <c r="H6" s="24"/>
    </row>
    <row r="7" spans="1:8">
      <c r="A7" s="24"/>
      <c r="B7" s="24"/>
      <c r="C7" s="24"/>
      <c r="D7" s="24"/>
      <c r="E7" s="24"/>
      <c r="F7" s="24"/>
      <c r="G7" s="24"/>
      <c r="H7" s="24"/>
    </row>
    <row r="8" spans="1:8">
      <c r="A8" s="24"/>
      <c r="B8" s="24"/>
      <c r="C8" s="24"/>
      <c r="D8" s="24"/>
      <c r="E8" s="24"/>
      <c r="F8" s="24"/>
      <c r="G8" s="24"/>
      <c r="H8" s="24"/>
    </row>
    <row r="9" spans="1:8">
      <c r="A9" s="24"/>
      <c r="B9" s="24"/>
      <c r="C9" s="24"/>
      <c r="D9" s="24"/>
      <c r="E9" s="24"/>
      <c r="F9" s="24"/>
      <c r="G9" s="24"/>
      <c r="H9" s="24"/>
    </row>
    <row r="10" spans="1:8">
      <c r="A10" s="24"/>
      <c r="B10" s="24"/>
      <c r="C10" s="24"/>
      <c r="D10" s="24"/>
      <c r="E10" s="24"/>
      <c r="F10" s="24"/>
      <c r="G10" s="24"/>
      <c r="H10" s="24"/>
    </row>
    <row r="11" spans="1:8">
      <c r="A11" s="24"/>
      <c r="B11" s="24"/>
      <c r="C11" s="24"/>
      <c r="D11" s="24"/>
      <c r="E11" s="24"/>
      <c r="F11" s="24"/>
      <c r="G11" s="24"/>
      <c r="H11" s="24"/>
    </row>
    <row r="13" spans="1:8">
      <c r="A13" s="22" t="s">
        <v>97</v>
      </c>
      <c r="B13" s="22"/>
      <c r="C13" s="22"/>
      <c r="D13" s="22"/>
      <c r="E13" s="22"/>
      <c r="F13" s="22"/>
      <c r="G13" s="22"/>
      <c r="H13" s="22"/>
    </row>
    <row r="14" spans="1:8">
      <c r="A14" s="6" t="s">
        <v>70</v>
      </c>
      <c r="B14" s="6" t="s">
        <v>53</v>
      </c>
      <c r="C14" s="6" t="s">
        <v>58</v>
      </c>
      <c r="D14" s="6" t="s">
        <v>72</v>
      </c>
      <c r="E14" s="6"/>
      <c r="F14" s="6" t="s">
        <v>74</v>
      </c>
    </row>
    <row r="15" spans="1:8">
      <c r="A15" s="7">
        <v>1</v>
      </c>
      <c r="B15" s="7" t="s">
        <v>98</v>
      </c>
      <c r="C15" s="3"/>
      <c r="D15" s="11"/>
      <c r="E15" s="7"/>
      <c r="F15" s="7" t="str">
        <f>IF(D15="","Pendiente",IF(ABS(D15-E15)&lt;0.01,"Correcto","Revisar"))</f>
        <v>Pendiente</v>
      </c>
    </row>
    <row r="16" spans="1:8">
      <c r="A16" s="7">
        <v>2</v>
      </c>
      <c r="B16" s="7" t="s">
        <v>99</v>
      </c>
      <c r="C16" s="3"/>
      <c r="D16" s="13"/>
      <c r="E16" s="7"/>
      <c r="F16" s="7" t="str">
        <f>IF(D16="","Pendiente",IF(ABS(D16-E16)&lt;0.01,"Correcto","Revisar"))</f>
        <v>Pendiente</v>
      </c>
    </row>
    <row r="17" spans="1:8">
      <c r="A17" s="7">
        <v>3</v>
      </c>
      <c r="B17" s="7" t="s">
        <v>100</v>
      </c>
      <c r="C17" s="3"/>
      <c r="D17" s="11"/>
      <c r="E17" s="7"/>
      <c r="F17" s="7" t="str">
        <f>IF(D17="","Pendiente",IF(ABS(D17-E17)&lt;0.0001,"Correcto","Revisar"))</f>
        <v>Pendiente</v>
      </c>
    </row>
    <row r="18" spans="1:8">
      <c r="A18" s="7">
        <v>4</v>
      </c>
      <c r="B18" s="7" t="s">
        <v>101</v>
      </c>
      <c r="C18" s="3"/>
      <c r="D18" s="3"/>
      <c r="E18" s="7" t="s">
        <v>102</v>
      </c>
      <c r="F18" s="7" t="str">
        <f>IF(D18="","Pendiente",IF(D18=E18,"Correcto","Revisar"))</f>
        <v>Pendiente</v>
      </c>
    </row>
    <row r="21" spans="1:8">
      <c r="A21" s="22" t="s">
        <v>103</v>
      </c>
      <c r="B21" s="22"/>
      <c r="C21" s="22"/>
      <c r="D21" s="22"/>
      <c r="E21" s="22"/>
      <c r="F21" s="22"/>
      <c r="G21" s="22"/>
      <c r="H21" s="22"/>
    </row>
    <row r="22" spans="1:8">
      <c r="A22" s="6" t="s">
        <v>104</v>
      </c>
      <c r="B22" s="6" t="s">
        <v>105</v>
      </c>
      <c r="C22" s="6" t="s">
        <v>106</v>
      </c>
    </row>
    <row r="23" spans="1:8">
      <c r="A23" s="7" t="s">
        <v>107</v>
      </c>
      <c r="B23" s="3"/>
      <c r="C23" s="7"/>
    </row>
    <row r="24" spans="1:8">
      <c r="A24" s="7" t="s">
        <v>100</v>
      </c>
      <c r="B24" s="11"/>
      <c r="C24" s="7"/>
    </row>
    <row r="25" spans="1:8">
      <c r="A25" s="7" t="s">
        <v>108</v>
      </c>
      <c r="B25" s="3"/>
      <c r="C25" s="7"/>
    </row>
  </sheetData>
  <mergeCells count="5">
    <mergeCell ref="A1:H2"/>
    <mergeCell ref="A4:H4"/>
    <mergeCell ref="A5:H11"/>
    <mergeCell ref="A13:H13"/>
    <mergeCell ref="A21:H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56" workbookViewId="0">
      <selection activeCell="E19" sqref="E19"/>
    </sheetView>
  </sheetViews>
  <sheetFormatPr baseColWidth="10" defaultColWidth="8.6640625" defaultRowHeight="14"/>
  <cols>
    <col min="1" max="1" width="52" customWidth="1"/>
    <col min="2" max="2" width="66" customWidth="1"/>
    <col min="3" max="3" width="56" customWidth="1"/>
    <col min="4" max="5" width="22" customWidth="1"/>
    <col min="6" max="6" width="16" customWidth="1"/>
    <col min="7" max="8" width="14" customWidth="1"/>
  </cols>
  <sheetData>
    <row r="1" spans="1:8">
      <c r="A1" s="19" t="s">
        <v>109</v>
      </c>
      <c r="B1" s="19"/>
      <c r="C1" s="19"/>
      <c r="D1" s="19"/>
      <c r="E1" s="19"/>
      <c r="F1" s="19"/>
      <c r="G1" s="19"/>
      <c r="H1" s="19"/>
    </row>
    <row r="2" spans="1:8">
      <c r="A2" s="19"/>
      <c r="B2" s="19"/>
      <c r="C2" s="19"/>
      <c r="D2" s="19"/>
      <c r="E2" s="19"/>
      <c r="F2" s="19"/>
      <c r="G2" s="19"/>
      <c r="H2" s="19"/>
    </row>
    <row r="4" spans="1:8">
      <c r="A4" s="23" t="s">
        <v>95</v>
      </c>
      <c r="B4" s="23"/>
      <c r="C4" s="23"/>
      <c r="D4" s="23"/>
      <c r="E4" s="23"/>
      <c r="F4" s="23"/>
      <c r="G4" s="23"/>
      <c r="H4" s="23"/>
    </row>
    <row r="5" spans="1:8">
      <c r="A5" s="24" t="s">
        <v>110</v>
      </c>
      <c r="B5" s="24"/>
      <c r="C5" s="24"/>
      <c r="D5" s="24"/>
      <c r="E5" s="24"/>
      <c r="F5" s="24"/>
      <c r="G5" s="24"/>
      <c r="H5" s="24"/>
    </row>
    <row r="6" spans="1:8">
      <c r="A6" s="24"/>
      <c r="B6" s="24"/>
      <c r="C6" s="24"/>
      <c r="D6" s="24"/>
      <c r="E6" s="24"/>
      <c r="F6" s="24"/>
      <c r="G6" s="24"/>
      <c r="H6" s="24"/>
    </row>
    <row r="7" spans="1:8">
      <c r="A7" s="24"/>
      <c r="B7" s="24"/>
      <c r="C7" s="24"/>
      <c r="D7" s="24"/>
      <c r="E7" s="24"/>
      <c r="F7" s="24"/>
      <c r="G7" s="24"/>
      <c r="H7" s="24"/>
    </row>
    <row r="8" spans="1:8">
      <c r="A8" s="24"/>
      <c r="B8" s="24"/>
      <c r="C8" s="24"/>
      <c r="D8" s="24"/>
      <c r="E8" s="24"/>
      <c r="F8" s="24"/>
      <c r="G8" s="24"/>
      <c r="H8" s="24"/>
    </row>
    <row r="9" spans="1:8">
      <c r="A9" s="24"/>
      <c r="B9" s="24"/>
      <c r="C9" s="24"/>
      <c r="D9" s="24"/>
      <c r="E9" s="24"/>
      <c r="F9" s="24"/>
      <c r="G9" s="24"/>
      <c r="H9" s="24"/>
    </row>
    <row r="10" spans="1:8">
      <c r="A10" s="24"/>
      <c r="B10" s="24"/>
      <c r="C10" s="24"/>
      <c r="D10" s="24"/>
      <c r="E10" s="24"/>
      <c r="F10" s="24"/>
      <c r="G10" s="24"/>
      <c r="H10" s="24"/>
    </row>
    <row r="11" spans="1:8">
      <c r="A11" s="24"/>
      <c r="B11" s="24"/>
      <c r="C11" s="24"/>
      <c r="D11" s="24"/>
      <c r="E11" s="24"/>
      <c r="F11" s="24"/>
      <c r="G11" s="24"/>
      <c r="H11" s="24"/>
    </row>
    <row r="13" spans="1:8">
      <c r="A13" s="22" t="s">
        <v>97</v>
      </c>
      <c r="B13" s="22"/>
      <c r="C13" s="22"/>
      <c r="D13" s="22"/>
      <c r="E13" s="22"/>
      <c r="F13" s="22"/>
      <c r="G13" s="22"/>
      <c r="H13" s="22"/>
    </row>
    <row r="14" spans="1:8">
      <c r="A14" s="6" t="s">
        <v>70</v>
      </c>
      <c r="B14" s="6" t="s">
        <v>53</v>
      </c>
      <c r="C14" s="6" t="s">
        <v>58</v>
      </c>
      <c r="D14" s="6" t="s">
        <v>72</v>
      </c>
      <c r="E14" s="6" t="s">
        <v>73</v>
      </c>
      <c r="F14" s="6" t="s">
        <v>74</v>
      </c>
    </row>
    <row r="15" spans="1:8">
      <c r="A15" s="7">
        <v>1</v>
      </c>
      <c r="B15" s="7" t="s">
        <v>111</v>
      </c>
      <c r="C15" s="3"/>
      <c r="D15" s="11"/>
      <c r="E15" s="7"/>
      <c r="F15" s="7" t="str">
        <f>IF(D15="","Pendiente",IF(ABS(D15-E15)&lt;0.01,"Correcto","Revisar"))</f>
        <v>Pendiente</v>
      </c>
    </row>
    <row r="16" spans="1:8">
      <c r="A16" s="7">
        <v>2</v>
      </c>
      <c r="B16" s="7" t="s">
        <v>100</v>
      </c>
      <c r="C16" s="3"/>
      <c r="D16" s="11"/>
      <c r="E16" s="7"/>
      <c r="F16" s="7" t="str">
        <f>IF(D16="","Pendiente",IF(ABS(D16-E16)&lt;0.0001,"Correcto","Revisar"))</f>
        <v>Pendiente</v>
      </c>
    </row>
    <row r="17" spans="1:8">
      <c r="A17" s="7">
        <v>3</v>
      </c>
      <c r="B17" s="7" t="s">
        <v>112</v>
      </c>
      <c r="C17" s="3"/>
      <c r="D17" s="14"/>
      <c r="E17" s="7"/>
      <c r="F17" s="7" t="str">
        <f>IF(D17="","Pendiente",IF(ABS(D17-E17)&lt;0.0001,"Correcto","Revisar"))</f>
        <v>Pendiente</v>
      </c>
    </row>
    <row r="18" spans="1:8">
      <c r="A18" s="7">
        <v>4</v>
      </c>
      <c r="B18" s="7" t="s">
        <v>101</v>
      </c>
      <c r="C18" s="3"/>
      <c r="D18" s="3"/>
      <c r="E18" s="7"/>
      <c r="F18" s="7" t="str">
        <f>IF(D18="","Pendiente",IF(LOWER(D18)=LOWER(E18),"Correcto","Revisar"))</f>
        <v>Pendiente</v>
      </c>
    </row>
    <row r="21" spans="1:8">
      <c r="A21" s="22" t="s">
        <v>113</v>
      </c>
      <c r="B21" s="22"/>
      <c r="C21" s="22"/>
      <c r="D21" s="22"/>
      <c r="E21" s="22"/>
      <c r="F21" s="22"/>
      <c r="G21" s="22"/>
      <c r="H21" s="22"/>
    </row>
    <row r="22" spans="1:8">
      <c r="A22" s="6" t="s">
        <v>114</v>
      </c>
      <c r="B22" s="6" t="s">
        <v>105</v>
      </c>
      <c r="C22" s="6" t="s">
        <v>106</v>
      </c>
    </row>
    <row r="23" spans="1:8">
      <c r="A23" s="7" t="s">
        <v>115</v>
      </c>
      <c r="B23" s="15"/>
      <c r="C23" s="7" t="s">
        <v>116</v>
      </c>
    </row>
    <row r="24" spans="1:8">
      <c r="A24" s="7" t="s">
        <v>117</v>
      </c>
      <c r="B24" s="15"/>
      <c r="C24" s="7" t="s">
        <v>118</v>
      </c>
    </row>
    <row r="25" spans="1:8">
      <c r="A25" s="7" t="s">
        <v>119</v>
      </c>
      <c r="B25" s="15"/>
      <c r="C25" s="7" t="s">
        <v>120</v>
      </c>
    </row>
  </sheetData>
  <mergeCells count="5">
    <mergeCell ref="A1:H2"/>
    <mergeCell ref="A4:H4"/>
    <mergeCell ref="A5:H11"/>
    <mergeCell ref="A13:H13"/>
    <mergeCell ref="A21:H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1"/>
  <sheetViews>
    <sheetView zoomScale="56" workbookViewId="0">
      <selection sqref="A1:H2"/>
    </sheetView>
  </sheetViews>
  <sheetFormatPr baseColWidth="10" defaultColWidth="8.6640625" defaultRowHeight="14"/>
  <cols>
    <col min="1" max="1" width="56" customWidth="1"/>
    <col min="2" max="2" width="66" customWidth="1"/>
    <col min="3" max="3" width="58" customWidth="1"/>
    <col min="4" max="4" width="22" customWidth="1"/>
    <col min="5" max="5" width="18" customWidth="1"/>
    <col min="6" max="8" width="14" customWidth="1"/>
  </cols>
  <sheetData>
    <row r="1" spans="1:8">
      <c r="A1" s="19" t="s">
        <v>121</v>
      </c>
      <c r="B1" s="19"/>
      <c r="C1" s="19"/>
      <c r="D1" s="19"/>
      <c r="E1" s="19"/>
      <c r="F1" s="19"/>
      <c r="G1" s="19"/>
      <c r="H1" s="19"/>
    </row>
    <row r="2" spans="1:8">
      <c r="A2" s="19"/>
      <c r="B2" s="19"/>
      <c r="C2" s="19"/>
      <c r="D2" s="19"/>
      <c r="E2" s="19"/>
      <c r="F2" s="19"/>
      <c r="G2" s="19"/>
      <c r="H2" s="19"/>
    </row>
    <row r="4" spans="1:8">
      <c r="A4" s="23" t="s">
        <v>50</v>
      </c>
      <c r="B4" s="23"/>
      <c r="C4" s="23"/>
      <c r="D4" s="23"/>
      <c r="E4" s="23"/>
      <c r="F4" s="23"/>
      <c r="G4" s="23"/>
      <c r="H4" s="23"/>
    </row>
    <row r="5" spans="1:8">
      <c r="A5" s="24" t="s">
        <v>122</v>
      </c>
      <c r="B5" s="24"/>
      <c r="C5" s="24"/>
      <c r="D5" s="24"/>
      <c r="E5" s="24"/>
      <c r="F5" s="24"/>
      <c r="G5" s="24"/>
      <c r="H5" s="24"/>
    </row>
    <row r="6" spans="1:8">
      <c r="A6" s="24"/>
      <c r="B6" s="24"/>
      <c r="C6" s="24"/>
      <c r="D6" s="24"/>
      <c r="E6" s="24"/>
      <c r="F6" s="24"/>
      <c r="G6" s="24"/>
      <c r="H6" s="24"/>
    </row>
    <row r="7" spans="1:8">
      <c r="A7" s="24"/>
      <c r="B7" s="24"/>
      <c r="C7" s="24"/>
      <c r="D7" s="24"/>
      <c r="E7" s="24"/>
      <c r="F7" s="24"/>
      <c r="G7" s="24"/>
      <c r="H7" s="24"/>
    </row>
    <row r="8" spans="1:8">
      <c r="A8" s="24"/>
      <c r="B8" s="24"/>
      <c r="C8" s="24"/>
      <c r="D8" s="24"/>
      <c r="E8" s="24"/>
      <c r="F8" s="24"/>
      <c r="G8" s="24"/>
      <c r="H8" s="24"/>
    </row>
    <row r="9" spans="1:8">
      <c r="A9" s="24"/>
      <c r="B9" s="24"/>
      <c r="C9" s="24"/>
      <c r="D9" s="24"/>
      <c r="E9" s="24"/>
      <c r="F9" s="24"/>
      <c r="G9" s="24"/>
      <c r="H9" s="24"/>
    </row>
    <row r="10" spans="1:8">
      <c r="A10" s="24"/>
      <c r="B10" s="24"/>
      <c r="C10" s="24"/>
      <c r="D10" s="24"/>
      <c r="E10" s="24"/>
      <c r="F10" s="24"/>
      <c r="G10" s="24"/>
      <c r="H10" s="24"/>
    </row>
    <row r="12" spans="1:8">
      <c r="A12" s="22" t="s">
        <v>123</v>
      </c>
      <c r="B12" s="22"/>
      <c r="C12" s="22"/>
      <c r="D12" s="22"/>
      <c r="E12" s="22"/>
      <c r="F12" s="22"/>
      <c r="G12" s="22"/>
      <c r="H12" s="22"/>
    </row>
    <row r="13" spans="1:8">
      <c r="A13" s="6" t="s">
        <v>124</v>
      </c>
      <c r="B13" s="6" t="s">
        <v>125</v>
      </c>
      <c r="C13" s="6" t="s">
        <v>126</v>
      </c>
      <c r="D13" s="6" t="s">
        <v>112</v>
      </c>
      <c r="E13" s="6" t="s">
        <v>127</v>
      </c>
    </row>
    <row r="14" spans="1:8">
      <c r="A14" s="7" t="s">
        <v>128</v>
      </c>
      <c r="B14" s="8">
        <v>52</v>
      </c>
      <c r="C14" s="8">
        <v>6.2</v>
      </c>
      <c r="D14" s="16">
        <v>8.387096774193548</v>
      </c>
      <c r="E14" s="7"/>
    </row>
    <row r="15" spans="1:8">
      <c r="A15" s="7" t="s">
        <v>129</v>
      </c>
      <c r="B15" s="8">
        <v>45</v>
      </c>
      <c r="C15" s="8">
        <v>5.5</v>
      </c>
      <c r="D15" s="16">
        <v>8.1818181818181817</v>
      </c>
      <c r="E15" s="7"/>
    </row>
    <row r="16" spans="1:8">
      <c r="A16" s="7" t="s">
        <v>130</v>
      </c>
      <c r="B16" s="8">
        <v>57</v>
      </c>
      <c r="C16" s="8">
        <v>6.8</v>
      </c>
      <c r="D16" s="16">
        <v>8.382352941176471</v>
      </c>
      <c r="E16" s="7"/>
    </row>
    <row r="17" spans="1:8">
      <c r="A17" s="7" t="s">
        <v>131</v>
      </c>
      <c r="B17" s="8">
        <v>48</v>
      </c>
      <c r="C17" s="8">
        <v>6</v>
      </c>
      <c r="D17" s="16">
        <v>8</v>
      </c>
      <c r="E17" s="7" t="s">
        <v>132</v>
      </c>
    </row>
    <row r="20" spans="1:8">
      <c r="A20" s="22" t="s">
        <v>133</v>
      </c>
      <c r="B20" s="22"/>
      <c r="C20" s="22"/>
      <c r="D20" s="22"/>
      <c r="E20" s="22"/>
      <c r="F20" s="22"/>
      <c r="G20" s="22"/>
      <c r="H20" s="22"/>
    </row>
    <row r="21" spans="1:8">
      <c r="A21" s="6" t="s">
        <v>134</v>
      </c>
      <c r="B21" s="6" t="s">
        <v>58</v>
      </c>
      <c r="C21" s="6" t="s">
        <v>72</v>
      </c>
      <c r="D21" s="6" t="s">
        <v>73</v>
      </c>
      <c r="E21" s="6" t="s">
        <v>74</v>
      </c>
    </row>
    <row r="22" spans="1:8">
      <c r="A22" s="7" t="s">
        <v>135</v>
      </c>
      <c r="B22" s="3"/>
      <c r="C22" s="14"/>
      <c r="D22" s="16">
        <v>8.3170892990627348</v>
      </c>
      <c r="E22" s="7" t="str">
        <f>IF(C22="","Pendiente",IF(ABS(C22-D22)&lt;0.0001,"Correcto","Revisar"))</f>
        <v>Pendiente</v>
      </c>
    </row>
    <row r="23" spans="1:8">
      <c r="A23" s="7" t="s">
        <v>136</v>
      </c>
      <c r="B23" s="3"/>
      <c r="C23" s="14"/>
      <c r="D23" s="16">
        <v>8.382352941176471</v>
      </c>
      <c r="E23" s="7" t="str">
        <f>IF(C23="","Pendiente",IF(ABS(C23-D23)&lt;0.0001,"Correcto","Revisar"))</f>
        <v>Pendiente</v>
      </c>
    </row>
    <row r="24" spans="1:8">
      <c r="A24" s="7" t="s">
        <v>137</v>
      </c>
      <c r="B24" s="3"/>
      <c r="C24" s="14"/>
      <c r="D24" s="16">
        <v>8</v>
      </c>
      <c r="E24" s="7" t="str">
        <f>IF(C24="","Pendiente",IF(ABS(C24-D24)&lt;0.0001,"Correcto","Revisar"))</f>
        <v>Pendiente</v>
      </c>
    </row>
    <row r="27" spans="1:8">
      <c r="A27" s="22" t="s">
        <v>138</v>
      </c>
      <c r="B27" s="22"/>
      <c r="C27" s="22"/>
      <c r="D27" s="22"/>
      <c r="E27" s="22"/>
      <c r="F27" s="22"/>
      <c r="G27" s="22"/>
      <c r="H27" s="22"/>
    </row>
    <row r="28" spans="1:8">
      <c r="A28" s="6" t="s">
        <v>114</v>
      </c>
      <c r="B28" s="6" t="s">
        <v>105</v>
      </c>
      <c r="C28" s="6" t="s">
        <v>106</v>
      </c>
    </row>
    <row r="29" spans="1:8">
      <c r="A29" s="7" t="s">
        <v>139</v>
      </c>
      <c r="B29" s="15"/>
      <c r="C29" s="7" t="s">
        <v>140</v>
      </c>
    </row>
    <row r="30" spans="1:8">
      <c r="A30" s="7" t="s">
        <v>141</v>
      </c>
      <c r="B30" s="15"/>
      <c r="C30" s="7" t="s">
        <v>142</v>
      </c>
    </row>
    <row r="31" spans="1:8">
      <c r="A31" s="7" t="s">
        <v>143</v>
      </c>
      <c r="B31" s="15"/>
      <c r="C31" s="7" t="s">
        <v>144</v>
      </c>
    </row>
  </sheetData>
  <mergeCells count="6">
    <mergeCell ref="A27:H27"/>
    <mergeCell ref="A1:H2"/>
    <mergeCell ref="A4:H4"/>
    <mergeCell ref="A5:H10"/>
    <mergeCell ref="A12:H12"/>
    <mergeCell ref="A20:H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7"/>
  <sheetViews>
    <sheetView zoomScale="61" workbookViewId="0">
      <selection activeCell="D28" sqref="D28"/>
    </sheetView>
  </sheetViews>
  <sheetFormatPr baseColWidth="10" defaultColWidth="8.6640625" defaultRowHeight="14"/>
  <cols>
    <col min="1" max="1" width="38" customWidth="1"/>
    <col min="2" max="2" width="34" customWidth="1"/>
    <col min="3" max="4" width="24" customWidth="1"/>
    <col min="5" max="5" width="16" customWidth="1"/>
    <col min="6" max="6" width="42" customWidth="1"/>
    <col min="7" max="8" width="14" customWidth="1"/>
  </cols>
  <sheetData>
    <row r="1" spans="1:8">
      <c r="A1" s="19" t="s">
        <v>145</v>
      </c>
      <c r="B1" s="19"/>
      <c r="C1" s="19"/>
      <c r="D1" s="19"/>
      <c r="E1" s="19"/>
      <c r="F1" s="19"/>
      <c r="G1" s="19"/>
      <c r="H1" s="19"/>
    </row>
    <row r="2" spans="1:8">
      <c r="A2" s="19"/>
      <c r="B2" s="19"/>
      <c r="C2" s="19"/>
      <c r="D2" s="19"/>
      <c r="E2" s="19"/>
      <c r="F2" s="19"/>
      <c r="G2" s="19"/>
      <c r="H2" s="19"/>
    </row>
    <row r="4" spans="1:8">
      <c r="A4" s="23" t="s">
        <v>95</v>
      </c>
      <c r="B4" s="23"/>
      <c r="C4" s="23"/>
      <c r="D4" s="23"/>
      <c r="E4" s="23"/>
      <c r="F4" s="23"/>
      <c r="G4" s="23"/>
      <c r="H4" s="23"/>
    </row>
    <row r="5" spans="1:8">
      <c r="A5" s="24" t="s">
        <v>146</v>
      </c>
      <c r="B5" s="24"/>
      <c r="C5" s="24"/>
      <c r="D5" s="24"/>
      <c r="E5" s="24"/>
      <c r="F5" s="24"/>
      <c r="G5" s="24"/>
      <c r="H5" s="24"/>
    </row>
    <row r="6" spans="1:8">
      <c r="A6" s="24"/>
      <c r="B6" s="24"/>
      <c r="C6" s="24"/>
      <c r="D6" s="24"/>
      <c r="E6" s="24"/>
      <c r="F6" s="24"/>
      <c r="G6" s="24"/>
      <c r="H6" s="24"/>
    </row>
    <row r="7" spans="1:8">
      <c r="A7" s="24"/>
      <c r="B7" s="24"/>
      <c r="C7" s="24"/>
      <c r="D7" s="24"/>
      <c r="E7" s="24"/>
      <c r="F7" s="24"/>
      <c r="G7" s="24"/>
      <c r="H7" s="24"/>
    </row>
    <row r="8" spans="1:8">
      <c r="A8" s="24"/>
      <c r="B8" s="24"/>
      <c r="C8" s="24"/>
      <c r="D8" s="24"/>
      <c r="E8" s="24"/>
      <c r="F8" s="24"/>
      <c r="G8" s="24"/>
      <c r="H8" s="24"/>
    </row>
    <row r="9" spans="1:8">
      <c r="A9" s="24"/>
      <c r="B9" s="24"/>
      <c r="C9" s="24"/>
      <c r="D9" s="24"/>
      <c r="E9" s="24"/>
      <c r="F9" s="24"/>
      <c r="G9" s="24"/>
      <c r="H9" s="24"/>
    </row>
    <row r="10" spans="1:8">
      <c r="A10" s="24"/>
      <c r="B10" s="24"/>
      <c r="C10" s="24"/>
      <c r="D10" s="24"/>
      <c r="E10" s="24"/>
      <c r="F10" s="24"/>
      <c r="G10" s="24"/>
      <c r="H10" s="24"/>
    </row>
    <row r="11" spans="1:8">
      <c r="A11" s="24"/>
      <c r="B11" s="24"/>
      <c r="C11" s="24"/>
      <c r="D11" s="24"/>
      <c r="E11" s="24"/>
      <c r="F11" s="24"/>
      <c r="G11" s="24"/>
      <c r="H11" s="24"/>
    </row>
    <row r="13" spans="1:8">
      <c r="A13" s="22" t="s">
        <v>147</v>
      </c>
      <c r="B13" s="22"/>
      <c r="C13" s="22"/>
      <c r="D13" s="22"/>
      <c r="E13" s="22"/>
      <c r="F13" s="22"/>
      <c r="G13" s="22"/>
      <c r="H13" s="22"/>
    </row>
    <row r="14" spans="1:8" ht="28">
      <c r="A14" s="6" t="s">
        <v>53</v>
      </c>
      <c r="B14" s="6" t="s">
        <v>148</v>
      </c>
      <c r="C14" s="6" t="s">
        <v>58</v>
      </c>
      <c r="D14" s="6" t="s">
        <v>72</v>
      </c>
      <c r="E14" s="6" t="s">
        <v>73</v>
      </c>
      <c r="F14" s="6" t="s">
        <v>74</v>
      </c>
    </row>
    <row r="15" spans="1:8">
      <c r="A15" s="7" t="s">
        <v>149</v>
      </c>
      <c r="B15" s="7" t="s">
        <v>10</v>
      </c>
      <c r="C15" s="3"/>
      <c r="D15" s="11"/>
      <c r="E15" s="8"/>
      <c r="F15" s="7" t="str">
        <f>IF(D15="","Pendiente",IF(ABS(D15-E15)&lt;0.0001,"Correcto","Revisar"))</f>
        <v>Pendiente</v>
      </c>
    </row>
    <row r="16" spans="1:8">
      <c r="A16" s="7" t="s">
        <v>150</v>
      </c>
      <c r="B16" s="7" t="s">
        <v>151</v>
      </c>
      <c r="C16" s="3"/>
      <c r="D16" s="14"/>
      <c r="E16" s="16"/>
      <c r="F16" s="7" t="str">
        <f>IF(D16="","Pendiente",IF(ABS(D16-E16)&lt;0.0001,"Correcto","Revisar"))</f>
        <v>Pendiente</v>
      </c>
    </row>
    <row r="17" spans="1:8">
      <c r="A17" s="7" t="s">
        <v>152</v>
      </c>
      <c r="B17" s="7" t="s">
        <v>153</v>
      </c>
      <c r="C17" s="3"/>
      <c r="D17" s="11"/>
      <c r="E17" s="8"/>
      <c r="F17" s="7" t="str">
        <f>IF(D17="","Pendiente",IF(ABS(D17-E17)&lt;0.0001,"Correcto","Revisar"))</f>
        <v>Pendiente</v>
      </c>
    </row>
    <row r="18" spans="1:8">
      <c r="A18" s="7" t="s">
        <v>154</v>
      </c>
      <c r="B18" s="7" t="s">
        <v>151</v>
      </c>
      <c r="C18" s="3"/>
      <c r="D18" s="14"/>
      <c r="E18" s="16"/>
      <c r="F18" s="7" t="str">
        <f>IF(D18="","Pendiente",IF(ABS(D18-E18)&lt;0.0001,"Correcto","Revisar"))</f>
        <v>Pendiente</v>
      </c>
    </row>
    <row r="19" spans="1:8">
      <c r="A19" s="7" t="s">
        <v>155</v>
      </c>
      <c r="B19" s="7" t="s">
        <v>156</v>
      </c>
      <c r="C19" s="3"/>
      <c r="D19" s="11"/>
      <c r="E19" s="8"/>
      <c r="F19" s="7" t="str">
        <f>IF(D19="","Pendiente",IF(ABS(D19-E19)&lt;0.0001,"Correcto","Revisar"))</f>
        <v>Pendiente</v>
      </c>
    </row>
    <row r="22" spans="1:8">
      <c r="A22" s="22" t="s">
        <v>157</v>
      </c>
      <c r="B22" s="22"/>
      <c r="C22" s="22"/>
      <c r="D22" s="22"/>
      <c r="E22" s="22"/>
      <c r="F22" s="22"/>
      <c r="G22" s="22"/>
      <c r="H22" s="22"/>
    </row>
    <row r="23" spans="1:8">
      <c r="A23" s="6" t="s">
        <v>53</v>
      </c>
      <c r="B23" s="6" t="s">
        <v>58</v>
      </c>
      <c r="C23" s="6" t="s">
        <v>72</v>
      </c>
      <c r="D23" s="6" t="s">
        <v>73</v>
      </c>
      <c r="E23" s="6" t="s">
        <v>74</v>
      </c>
      <c r="F23" s="6" t="s">
        <v>108</v>
      </c>
    </row>
    <row r="24" spans="1:8">
      <c r="A24" s="7" t="s">
        <v>111</v>
      </c>
      <c r="B24" s="3"/>
      <c r="C24" s="11"/>
      <c r="D24" s="8"/>
      <c r="E24" s="7" t="str">
        <f>IF(C24="","Pendiente",IF(ABS(C24-D24)&lt;0.0001,"Correcto","Revisar"))</f>
        <v>Pendiente</v>
      </c>
      <c r="F24" s="7" t="s">
        <v>158</v>
      </c>
    </row>
    <row r="25" spans="1:8">
      <c r="A25" s="7" t="s">
        <v>159</v>
      </c>
      <c r="B25" s="3"/>
      <c r="C25" s="11"/>
      <c r="D25" s="8"/>
      <c r="E25" s="7" t="str">
        <f>IF(C25="","Pendiente",IF(ABS(C25-D25)&lt;0.0001,"Correcto","Revisar"))</f>
        <v>Pendiente</v>
      </c>
      <c r="F25" s="7" t="s">
        <v>160</v>
      </c>
    </row>
    <row r="26" spans="1:8">
      <c r="A26" s="7" t="s">
        <v>161</v>
      </c>
      <c r="B26" s="3"/>
      <c r="C26" s="11"/>
      <c r="D26" s="8"/>
      <c r="E26" s="7" t="str">
        <f>IF(C26="","Pendiente",IF(ABS(C26-D26)&lt;0.0001,"Correcto","Revisar"))</f>
        <v>Pendiente</v>
      </c>
      <c r="F26" s="7" t="s">
        <v>162</v>
      </c>
    </row>
    <row r="27" spans="1:8">
      <c r="A27" s="7" t="s">
        <v>163</v>
      </c>
      <c r="B27" s="3"/>
      <c r="C27" s="17"/>
      <c r="D27" s="18"/>
      <c r="E27" s="7" t="str">
        <f>IF(C27="","Pendiente",IF(ABS(C27-D27)&lt;0.0001,"Correcto","Revisar"))</f>
        <v>Pendiente</v>
      </c>
      <c r="F27" s="7" t="s">
        <v>164</v>
      </c>
    </row>
  </sheetData>
  <mergeCells count="5">
    <mergeCell ref="A1:H2"/>
    <mergeCell ref="A4:H4"/>
    <mergeCell ref="A5:H11"/>
    <mergeCell ref="A13:H13"/>
    <mergeCell ref="A22:H2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8"/>
  <sheetViews>
    <sheetView tabSelected="1" workbookViewId="0">
      <selection sqref="A1:H2"/>
    </sheetView>
  </sheetViews>
  <sheetFormatPr baseColWidth="10" defaultColWidth="8.6640625" defaultRowHeight="14"/>
  <cols>
    <col min="1" max="1" width="64" customWidth="1"/>
    <col min="2" max="2" width="78" customWidth="1"/>
    <col min="3" max="3" width="52" customWidth="1"/>
    <col min="4" max="6" width="18" customWidth="1"/>
    <col min="7" max="8" width="14" customWidth="1"/>
  </cols>
  <sheetData>
    <row r="1" spans="1:8">
      <c r="A1" s="19" t="s">
        <v>166</v>
      </c>
      <c r="B1" s="19"/>
      <c r="C1" s="19"/>
      <c r="D1" s="19"/>
      <c r="E1" s="19"/>
      <c r="F1" s="19"/>
      <c r="G1" s="19"/>
      <c r="H1" s="19"/>
    </row>
    <row r="2" spans="1:8">
      <c r="A2" s="19"/>
      <c r="B2" s="19"/>
      <c r="C2" s="19"/>
      <c r="D2" s="19"/>
      <c r="E2" s="19"/>
      <c r="F2" s="19"/>
      <c r="G2" s="19"/>
      <c r="H2" s="19"/>
    </row>
    <row r="4" spans="1:8">
      <c r="A4" s="23" t="s">
        <v>167</v>
      </c>
      <c r="B4" s="23"/>
      <c r="C4" s="23"/>
      <c r="D4" s="23"/>
      <c r="E4" s="23"/>
      <c r="F4" s="23"/>
      <c r="G4" s="23"/>
      <c r="H4" s="23"/>
    </row>
    <row r="5" spans="1:8">
      <c r="A5" s="24" t="s">
        <v>168</v>
      </c>
      <c r="B5" s="24"/>
      <c r="C5" s="24"/>
      <c r="D5" s="24"/>
      <c r="E5" s="24"/>
      <c r="F5" s="24"/>
      <c r="G5" s="24"/>
      <c r="H5" s="24"/>
    </row>
    <row r="6" spans="1:8">
      <c r="A6" s="24"/>
      <c r="B6" s="24"/>
      <c r="C6" s="24"/>
      <c r="D6" s="24"/>
      <c r="E6" s="24"/>
      <c r="F6" s="24"/>
      <c r="G6" s="24"/>
      <c r="H6" s="24"/>
    </row>
    <row r="7" spans="1:8">
      <c r="A7" s="24"/>
      <c r="B7" s="24"/>
      <c r="C7" s="24"/>
      <c r="D7" s="24"/>
      <c r="E7" s="24"/>
      <c r="F7" s="24"/>
      <c r="G7" s="24"/>
      <c r="H7" s="24"/>
    </row>
    <row r="8" spans="1:8">
      <c r="A8" s="24"/>
      <c r="B8" s="24"/>
      <c r="C8" s="24"/>
      <c r="D8" s="24"/>
      <c r="E8" s="24"/>
      <c r="F8" s="24"/>
      <c r="G8" s="24"/>
      <c r="H8" s="24"/>
    </row>
    <row r="9" spans="1:8">
      <c r="A9" s="24"/>
      <c r="B9" s="24"/>
      <c r="C9" s="24"/>
      <c r="D9" s="24"/>
      <c r="E9" s="24"/>
      <c r="F9" s="24"/>
      <c r="G9" s="24"/>
      <c r="H9" s="24"/>
    </row>
    <row r="10" spans="1:8">
      <c r="A10" s="24"/>
      <c r="B10" s="24"/>
      <c r="C10" s="24"/>
      <c r="D10" s="24"/>
      <c r="E10" s="24"/>
      <c r="F10" s="24"/>
      <c r="G10" s="24"/>
      <c r="H10" s="24"/>
    </row>
    <row r="12" spans="1:8">
      <c r="A12" s="22" t="s">
        <v>169</v>
      </c>
      <c r="B12" s="22"/>
      <c r="C12" s="22"/>
      <c r="D12" s="22"/>
      <c r="E12" s="22"/>
      <c r="F12" s="22"/>
      <c r="G12" s="22"/>
      <c r="H12" s="22"/>
    </row>
    <row r="13" spans="1:8">
      <c r="A13" s="6" t="s">
        <v>134</v>
      </c>
      <c r="B13" s="6" t="s">
        <v>73</v>
      </c>
      <c r="C13" s="6" t="s">
        <v>170</v>
      </c>
    </row>
    <row r="14" spans="1:8">
      <c r="A14" s="7" t="s">
        <v>98</v>
      </c>
      <c r="B14" s="8">
        <v>3600000</v>
      </c>
      <c r="C14" s="5" t="s">
        <v>171</v>
      </c>
    </row>
    <row r="15" spans="1:8">
      <c r="A15" s="7" t="s">
        <v>165</v>
      </c>
      <c r="B15" s="12">
        <v>600000</v>
      </c>
      <c r="C15" s="5" t="s">
        <v>172</v>
      </c>
    </row>
    <row r="16" spans="1:8">
      <c r="A16" s="7" t="s">
        <v>100</v>
      </c>
      <c r="B16" s="8">
        <v>6</v>
      </c>
      <c r="C16" s="5" t="s">
        <v>173</v>
      </c>
    </row>
    <row r="17" spans="1:8">
      <c r="A17" s="7" t="s">
        <v>111</v>
      </c>
      <c r="B17" s="8">
        <v>48</v>
      </c>
      <c r="C17" s="5" t="s">
        <v>174</v>
      </c>
    </row>
    <row r="18" spans="1:8">
      <c r="A18" s="7" t="s">
        <v>112</v>
      </c>
      <c r="B18" s="16">
        <v>8</v>
      </c>
      <c r="C18" s="5" t="s">
        <v>175</v>
      </c>
    </row>
    <row r="19" spans="1:8">
      <c r="A19" s="7" t="s">
        <v>150</v>
      </c>
      <c r="B19" s="16">
        <v>8.3170892990627348</v>
      </c>
      <c r="C19" s="5" t="s">
        <v>176</v>
      </c>
    </row>
    <row r="22" spans="1:8">
      <c r="A22" s="22" t="s">
        <v>177</v>
      </c>
      <c r="B22" s="22"/>
      <c r="C22" s="22"/>
      <c r="D22" s="22"/>
      <c r="E22" s="22"/>
      <c r="F22" s="22"/>
      <c r="G22" s="22"/>
      <c r="H22" s="22"/>
    </row>
    <row r="23" spans="1:8">
      <c r="A23" s="6" t="s">
        <v>114</v>
      </c>
      <c r="B23" s="6" t="s">
        <v>105</v>
      </c>
    </row>
    <row r="24" spans="1:8">
      <c r="A24" s="7" t="s">
        <v>178</v>
      </c>
      <c r="B24" s="15"/>
    </row>
    <row r="25" spans="1:8">
      <c r="A25" s="7" t="s">
        <v>179</v>
      </c>
      <c r="B25" s="15"/>
    </row>
    <row r="26" spans="1:8">
      <c r="A26" s="7" t="s">
        <v>180</v>
      </c>
      <c r="B26" s="15"/>
    </row>
    <row r="27" spans="1:8">
      <c r="A27" s="7" t="s">
        <v>181</v>
      </c>
      <c r="B27" s="15"/>
    </row>
    <row r="28" spans="1:8">
      <c r="A28" s="7" t="s">
        <v>182</v>
      </c>
      <c r="B28" s="15"/>
    </row>
    <row r="29" spans="1:8">
      <c r="A29" s="7" t="s">
        <v>183</v>
      </c>
      <c r="B29" s="15"/>
    </row>
    <row r="32" spans="1:8">
      <c r="A32" s="22" t="s">
        <v>184</v>
      </c>
      <c r="B32" s="22"/>
      <c r="C32" s="22"/>
      <c r="D32" s="22"/>
      <c r="E32" s="22"/>
      <c r="F32" s="22"/>
      <c r="G32" s="22"/>
      <c r="H32" s="22"/>
    </row>
    <row r="33" spans="1:4">
      <c r="A33" s="6" t="s">
        <v>185</v>
      </c>
      <c r="B33" s="6" t="s">
        <v>186</v>
      </c>
      <c r="C33" s="6" t="s">
        <v>187</v>
      </c>
      <c r="D33" s="6" t="s">
        <v>77</v>
      </c>
    </row>
    <row r="34" spans="1:4">
      <c r="A34" s="7" t="s">
        <v>188</v>
      </c>
      <c r="B34" s="7"/>
      <c r="C34" s="7"/>
      <c r="D34" s="7"/>
    </row>
    <row r="35" spans="1:4">
      <c r="A35" s="7" t="s">
        <v>189</v>
      </c>
      <c r="B35" s="7"/>
      <c r="C35" s="7"/>
      <c r="D35" s="7"/>
    </row>
    <row r="36" spans="1:4">
      <c r="A36" s="7" t="s">
        <v>190</v>
      </c>
      <c r="B36" s="7"/>
      <c r="C36" s="7"/>
      <c r="D36" s="7"/>
    </row>
    <row r="37" spans="1:4">
      <c r="A37" s="7" t="s">
        <v>191</v>
      </c>
      <c r="B37" s="7"/>
      <c r="C37" s="7"/>
      <c r="D37" s="7"/>
    </row>
    <row r="38" spans="1:4">
      <c r="A38" s="7" t="s">
        <v>192</v>
      </c>
      <c r="B38" s="7"/>
      <c r="C38" s="7"/>
      <c r="D38" s="7"/>
    </row>
  </sheetData>
  <mergeCells count="6">
    <mergeCell ref="A32:H32"/>
    <mergeCell ref="A1:H2"/>
    <mergeCell ref="A4:H4"/>
    <mergeCell ref="A5:H10"/>
    <mergeCell ref="A12:H12"/>
    <mergeCell ref="A22:H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1. Portada</vt:lpstr>
      <vt:lpstr>2. Caso empresarial</vt:lpstr>
      <vt:lpstr>3. Documento 1 - Flujo</vt:lpstr>
      <vt:lpstr>4. Documento 2 - Mercado</vt:lpstr>
      <vt:lpstr>5. Paso 1 - CFPS</vt:lpstr>
      <vt:lpstr>6. Paso 2 - PCFR</vt:lpstr>
      <vt:lpstr>7. Empresas comparables</vt:lpstr>
      <vt:lpstr>8. Precio implícito</vt:lpstr>
      <vt:lpstr>10. Interpretación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Oyaque Mora Silvia Melinda</cp:lastModifiedBy>
  <dcterms:created xsi:type="dcterms:W3CDTF">2026-07-20T19:00:12Z</dcterms:created>
  <dcterms:modified xsi:type="dcterms:W3CDTF">2026-07-20T19:00:25Z</dcterms:modified>
</cp:coreProperties>
</file>