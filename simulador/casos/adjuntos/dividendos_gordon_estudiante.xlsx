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JULIO A DICIEMBRE 2026\VALORACIÓN DE EMPRESAS\"/>
    </mc:Choice>
  </mc:AlternateContent>
  <xr:revisionPtr revIDLastSave="0" documentId="8_{D5626836-EA0E-49E7-8A9E-E44A8BDFA0F3}" xr6:coauthVersionLast="47" xr6:coauthVersionMax="47" xr10:uidLastSave="{00000000-0000-0000-0000-000000000000}"/>
  <bookViews>
    <workbookView xWindow="-110" yWindow="-110" windowWidth="19420" windowHeight="11500" firstSheet="7" activeTab="8" xr2:uid="{00000000-000D-0000-FFFF-FFFF00000000}"/>
  </bookViews>
  <sheets>
    <sheet name="1. Portada" sheetId="1" r:id="rId1"/>
    <sheet name="2. Caso empresarial" sheetId="2" r:id="rId2"/>
    <sheet name="3. Documento 1 - Dividendos" sheetId="3" r:id="rId3"/>
    <sheet name="4. Documento 2 - Política" sheetId="4" r:id="rId4"/>
    <sheet name="5. Documento 3 - Ke" sheetId="5" r:id="rId5"/>
    <sheet name="6. Paso 1 - Modelo Gordon" sheetId="6" r:id="rId6"/>
    <sheet name="7. Paso 2 - Comparación" sheetId="7" r:id="rId7"/>
    <sheet name="8. Valor del patrimonio" sheetId="8" r:id="rId8"/>
    <sheet name="10. Interpretación final" sheetId="10" r:id="rId9"/>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8" l="1"/>
  <c r="F16" i="8"/>
  <c r="F15" i="8"/>
  <c r="F14" i="8"/>
  <c r="E24" i="7"/>
  <c r="E23" i="7"/>
  <c r="E22" i="7"/>
  <c r="E17" i="7"/>
  <c r="E16" i="7"/>
  <c r="E15" i="7"/>
  <c r="E14" i="7"/>
  <c r="F19" i="6"/>
  <c r="F18" i="6"/>
  <c r="F17" i="6"/>
  <c r="F16" i="6"/>
  <c r="F15" i="6"/>
  <c r="F24" i="5"/>
  <c r="F23" i="5"/>
  <c r="F22" i="5"/>
  <c r="F24" i="4"/>
  <c r="F23" i="4"/>
  <c r="F22" i="4"/>
  <c r="F24" i="3"/>
  <c r="F23" i="3"/>
  <c r="F22" i="3"/>
  <c r="F21" i="3"/>
  <c r="C16" i="3"/>
  <c r="C15" i="3"/>
  <c r="C14" i="3"/>
</calcChain>
</file>

<file path=xl/sharedStrings.xml><?xml version="1.0" encoding="utf-8"?>
<sst xmlns="http://schemas.openxmlformats.org/spreadsheetml/2006/main" count="237" uniqueCount="180">
  <si>
    <t>UNIDAD 4.2 · MODELO DE DESCUENTO DE DIVIDENDOS (DDM)</t>
  </si>
  <si>
    <t>WORKBOOK PRO PARA ESTUDIANTES · INDUSTRIA TUNGURAHUA S.A.</t>
  </si>
  <si>
    <t>Laboratorio financiero para estimar el valor intrínseco de una acción mediante el Modelo de Gordon, compararlo con el precio de mercado y analizar la sensibilidad frente a cambios en Ke y g.</t>
  </si>
  <si>
    <t>DATOS DEL ESTUDIANTE</t>
  </si>
  <si>
    <t>Nombres y apellidos</t>
  </si>
  <si>
    <t>Curso</t>
  </si>
  <si>
    <t>Paralelo</t>
  </si>
  <si>
    <t>Docente</t>
  </si>
  <si>
    <t>Fecha</t>
  </si>
  <si>
    <t>RUTA DE APRENDIZAJE</t>
  </si>
  <si>
    <t>Paso 1</t>
  </si>
  <si>
    <t>Analizar el historial de dividendos</t>
  </si>
  <si>
    <t>Paso 2</t>
  </si>
  <si>
    <t>Determinar el dividendo esperado D₁</t>
  </si>
  <si>
    <t>Paso 3</t>
  </si>
  <si>
    <t>Identificar la tasa de crecimiento g</t>
  </si>
  <si>
    <t>Paso 4</t>
  </si>
  <si>
    <t>Identificar el costo del patrimonio Ke</t>
  </si>
  <si>
    <t>Paso 5</t>
  </si>
  <si>
    <t>Verificar que Ke &gt; g</t>
  </si>
  <si>
    <t>Paso 6</t>
  </si>
  <si>
    <t>Aplicar el Modelo de Gordon</t>
  </si>
  <si>
    <t>Paso 7</t>
  </si>
  <si>
    <t>Comparar valor intrínseco y precio de mercado</t>
  </si>
  <si>
    <t>Paso 8</t>
  </si>
  <si>
    <t>Analizar sensibilidad e interpretar</t>
  </si>
  <si>
    <t>CASO EMPRESARIAL Y DOCUMENTOS DE RESPALDO</t>
  </si>
  <si>
    <t>CONTEXTO DEL CASO</t>
  </si>
  <si>
    <t>Industria Tungurahua S.A. es una empresa madura que distribuye dividendos de manera regular. La Gerencia desea estimar el valor intrínseco de su acción mediante el Modelo de Gordon y compararlo con el precio de mercado para determinar si la acción podría encontrarse subvalorada o sobrevalorada.</t>
  </si>
  <si>
    <t>OBJETIVO DE APRENDIZAJE</t>
  </si>
  <si>
    <t>Aplicar el Modelo de Descuento de Dividendos con crecimiento constante, evaluar su condición de validez e interpretar el valor obtenido frente al precio de mercado.</t>
  </si>
  <si>
    <t>DOCUMENTOS DISPONIBLES</t>
  </si>
  <si>
    <t>Documento</t>
  </si>
  <si>
    <t>Contenido</t>
  </si>
  <si>
    <t>Uso en el ejercicio</t>
  </si>
  <si>
    <t>Documento 1</t>
  </si>
  <si>
    <t>Historial de dividendos</t>
  </si>
  <si>
    <t>Analizar estabilidad y crecimiento.</t>
  </si>
  <si>
    <t>Documento 2</t>
  </si>
  <si>
    <t>Política de dividendos</t>
  </si>
  <si>
    <t>Determinar D₀ y crecimiento esperado.</t>
  </si>
  <si>
    <t>Documento 3</t>
  </si>
  <si>
    <t>Informe de costo del patrimonio</t>
  </si>
  <si>
    <t>Obtener Ke.</t>
  </si>
  <si>
    <t>Documento 4</t>
  </si>
  <si>
    <t>Información de mercado</t>
  </si>
  <si>
    <t>Comparar P₀ con el precio observado.</t>
  </si>
  <si>
    <t>INSTRUCCIONES</t>
  </si>
  <si>
    <t>1. Lea cada documento antes de calcular.
2. Revise la fórmula en texto antes de ingresar valores.
3. Complete únicamente las celdas amarillas.
4. Escriba la operación utilizada, no solo el resultado.
5. Compruebe siempre la condición Ke &gt; g.
6. Finalice con una interpretación financiera.</t>
  </si>
  <si>
    <t>DOCUMENTO 1 · HISTORIAL DE DIVIDENDOS</t>
  </si>
  <si>
    <t>📘 RECORDATORIO</t>
  </si>
  <si>
    <t>El dividendo histórico ayuda a evaluar la estabilidad de la política de distribución. Para aplicar el Modelo de Gordon se utiliza el dividendo esperado del próximo período, D₁.</t>
  </si>
  <si>
    <t>DIVIDENDOS POR ACCIÓN</t>
  </si>
  <si>
    <t>Año</t>
  </si>
  <si>
    <t>Dividendo por acción (USD)</t>
  </si>
  <si>
    <t>Crecimiento anual</t>
  </si>
  <si>
    <t>Observación</t>
  </si>
  <si>
    <t>Año base</t>
  </si>
  <si>
    <t>Crecimiento moderado</t>
  </si>
  <si>
    <t>Crecimiento estable</t>
  </si>
  <si>
    <t>Último dividendo pagado D₀</t>
  </si>
  <si>
    <t>ACTIVIDAD DEL ESTUDIANTE</t>
  </si>
  <si>
    <t>Paso</t>
  </si>
  <si>
    <t>Concepto</t>
  </si>
  <si>
    <t>Operación</t>
  </si>
  <si>
    <t>Respuesta</t>
  </si>
  <si>
    <t>Resultado técnico</t>
  </si>
  <si>
    <t>Estado</t>
  </si>
  <si>
    <t>Dividendo actual D₀</t>
  </si>
  <si>
    <t>Crecimiento 2023</t>
  </si>
  <si>
    <t>Crecimiento 2024</t>
  </si>
  <si>
    <t>Crecimiento 2025</t>
  </si>
  <si>
    <t>DOCUMENTO 2 · POLÍTICA DE DIVIDENDOS Y CRECIMIENTO</t>
  </si>
  <si>
    <t>Si se dispone del dividendo actual D₀, el dividendo esperado se calcula así:
D₁ = D₀ × (1 + g)
El Modelo de Gordon utiliza D₁, no D₀.</t>
  </si>
  <si>
    <t>INFORME DE LA DIRECCIÓN FINANCIERA</t>
  </si>
  <si>
    <t>Dato</t>
  </si>
  <si>
    <t>Explicación</t>
  </si>
  <si>
    <t>Dividendo pagado al cierre de 2025.</t>
  </si>
  <si>
    <t>Crecimiento esperado g</t>
  </si>
  <si>
    <t>Proyección sostenible para los próximos años.</t>
  </si>
  <si>
    <t>Estable</t>
  </si>
  <si>
    <t>La empresa mantiene pagos periódicos.</t>
  </si>
  <si>
    <t>Número de acciones</t>
  </si>
  <si>
    <t>Acciones ordinarias en circulación.</t>
  </si>
  <si>
    <t>D₀</t>
  </si>
  <si>
    <t>g</t>
  </si>
  <si>
    <t>Dividendo esperado D₁</t>
  </si>
  <si>
    <t>DOCUMENTO 3 · COSTO DEL PATRIMONIO Y MERCADO</t>
  </si>
  <si>
    <t>Ke representa la rentabilidad mínima exigida por los accionistas. Para que el Modelo de Gordon sea válido debe cumplirse Ke &gt; g.</t>
  </si>
  <si>
    <t>INFORME FINANCIERO</t>
  </si>
  <si>
    <t>Costo del patrimonio Ke</t>
  </si>
  <si>
    <t>Rentabilidad mínima exigida.</t>
  </si>
  <si>
    <t>Tasa de crecimiento g</t>
  </si>
  <si>
    <t>Crecimiento esperado de dividendos.</t>
  </si>
  <si>
    <t>Precio de mercado por acción</t>
  </si>
  <si>
    <t>Precio observado para comparación.</t>
  </si>
  <si>
    <t>Condición requerida</t>
  </si>
  <si>
    <t>Ke &gt; g</t>
  </si>
  <si>
    <t>El denominador debe ser positivo.</t>
  </si>
  <si>
    <t>Operación / análisis</t>
  </si>
  <si>
    <t>Ke</t>
  </si>
  <si>
    <t>¿Se cumple Ke &gt; g?</t>
  </si>
  <si>
    <t>Sí</t>
  </si>
  <si>
    <t>PASO 1 · APLICAR EL MODELO DE GORDON</t>
  </si>
  <si>
    <t>📐 FÓRMULA EN TEXTO</t>
  </si>
  <si>
    <t>P₀ = D₁ ÷ (Ke − g)
Donde:
P₀ = valor intrínseco de la acción
D₁ = dividendo esperado
Ke = costo del patrimonio
g = crecimiento esperado</t>
  </si>
  <si>
    <t>HOJA DE TRABAJO</t>
  </si>
  <si>
    <t>Crecimiento g</t>
  </si>
  <si>
    <t>Diferencial Ke − g</t>
  </si>
  <si>
    <t>Valor intrínseco P₀</t>
  </si>
  <si>
    <t>OPERACIÓN COMPLETA</t>
  </si>
  <si>
    <t>Elemento</t>
  </si>
  <si>
    <t>Respuesta del estudiante</t>
  </si>
  <si>
    <t>Orientación</t>
  </si>
  <si>
    <t>Sustitución</t>
  </si>
  <si>
    <t>Valor de la acción</t>
  </si>
  <si>
    <t>Condición</t>
  </si>
  <si>
    <t>PASO 2 · COMPARAR VALOR INTRÍNSECO Y PRECIO DE MERCADO</t>
  </si>
  <si>
    <t>📘 INTERPRETACIÓN</t>
  </si>
  <si>
    <t>Si P₀ &gt; precio de mercado, la acción podría estar subvalorada.
Si P₀ &lt; precio de mercado, la acción podría estar sobrevalorada.
La conclusión debe complementarse con otros métodos.</t>
  </si>
  <si>
    <t>COMPARACIÓN</t>
  </si>
  <si>
    <t>Interpretación</t>
  </si>
  <si>
    <t>Valor calculado por Gordon.</t>
  </si>
  <si>
    <t>Precio de mercado</t>
  </si>
  <si>
    <t>Precio observado.</t>
  </si>
  <si>
    <t>Diferencia absoluta</t>
  </si>
  <si>
    <t>P₀ − Precio.</t>
  </si>
  <si>
    <t>Potencial de variación</t>
  </si>
  <si>
    <t>(P₀ / Precio) − 1.</t>
  </si>
  <si>
    <t>DECISIÓN DEL ESTUDIANTE</t>
  </si>
  <si>
    <t>Pregunta</t>
  </si>
  <si>
    <t>Criterio técnico</t>
  </si>
  <si>
    <t>¿La acción está subvalorada o sobrevalorada?</t>
  </si>
  <si>
    <t>Subvalorada</t>
  </si>
  <si>
    <t>¿Existe potencial positivo?</t>
  </si>
  <si>
    <t>Recomendación preliminar</t>
  </si>
  <si>
    <t>Analizar compra</t>
  </si>
  <si>
    <t>VALOR DEL PATRIMONIO A PARTIR DEL VALOR POR ACCIÓN</t>
  </si>
  <si>
    <t>Una vez determinado el valor intrínseco por acción, el valor estimado del patrimonio se obtiene multiplicando el valor por acción por el número de acciones en circulación.</t>
  </si>
  <si>
    <t>CÁLCULO DEL PATRIMONIO</t>
  </si>
  <si>
    <t>Origen</t>
  </si>
  <si>
    <t>Valor intrínseco por acción</t>
  </si>
  <si>
    <t>Modelo de Gordon</t>
  </si>
  <si>
    <t>Valor estimado del patrimonio</t>
  </si>
  <si>
    <t>P₀ × acciones</t>
  </si>
  <si>
    <t>Capitalización de mercado</t>
  </si>
  <si>
    <t>Precio mercado × acciones</t>
  </si>
  <si>
    <t>ANÁLISIS</t>
  </si>
  <si>
    <t>¿Por qué el valor estimado supera la capitalización de mercado?</t>
  </si>
  <si>
    <t>Porque P₀ es superior al precio observado.</t>
  </si>
  <si>
    <t>¿Este resultado debe usarse de forma aislada?</t>
  </si>
  <si>
    <t>No; debe contrastarse con otros métodos.</t>
  </si>
  <si>
    <t>D₁</t>
  </si>
  <si>
    <t>Indicador</t>
  </si>
  <si>
    <t>INTERPRETACIÓN, CONCLUSIONES Y AUTOEVALUACIÓN</t>
  </si>
  <si>
    <t>📘 IDEA CLAVE</t>
  </si>
  <si>
    <t>El Modelo de Gordon estima el valor intrínseco de una acción con base en dividendos crecientes. Su resultado depende fuertemente de Ke y g y debe complementarse con otros métodos de valoración.</t>
  </si>
  <si>
    <t>RESULTADO DEL CASO</t>
  </si>
  <si>
    <t>Lectura financiera</t>
  </si>
  <si>
    <t>Último dividendo pagado.</t>
  </si>
  <si>
    <t>Dividendo esperado.</t>
  </si>
  <si>
    <t>Crecimiento sostenible.</t>
  </si>
  <si>
    <t>P₀</t>
  </si>
  <si>
    <t>Valor intrínseco por acción.</t>
  </si>
  <si>
    <t>PREGUNTAS DE ANÁLISIS</t>
  </si>
  <si>
    <t>¿Por qué se utiliza D₁ y no D₀?</t>
  </si>
  <si>
    <t>¿Qué ocurre cuando g aumenta?</t>
  </si>
  <si>
    <t>¿Qué ocurre cuando Ke aumenta?</t>
  </si>
  <si>
    <t>¿Por qué debe cumplirse Ke &gt; g?</t>
  </si>
  <si>
    <t>¿La acción parece subvalorada? Justifique.</t>
  </si>
  <si>
    <t>Conclusión para un inversionista</t>
  </si>
  <si>
    <t>AUTOEVALUACIÓN</t>
  </si>
  <si>
    <t>Criterio</t>
  </si>
  <si>
    <t>En proceso</t>
  </si>
  <si>
    <t>No</t>
  </si>
  <si>
    <t>Identifiqué correctamente D₀ y D₁</t>
  </si>
  <si>
    <t>Comprendí la condición Ke &gt; g</t>
  </si>
  <si>
    <t>Apliqué correctamente el Modelo de Gordon</t>
  </si>
  <si>
    <t>Comparé P₀ con el precio de mercado</t>
  </si>
  <si>
    <t>Puedo explicar la sensibilidad del modelo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</si>
</sst>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7">
    <font>
      <sz val="11"/>
      <name val="Carlito"/>
    </font>
    <font>
      <b/>
      <sz val="16"/>
      <color rgb="FFFFFFFF"/>
      <name val="Carlito"/>
    </font>
    <font>
      <b/>
      <sz val="18"/>
      <color rgb="FF173B5F"/>
      <name val="Carlito"/>
    </font>
    <font>
      <b/>
      <sz val="11"/>
      <color rgb="FFFFFFFF"/>
      <name val="Carlito"/>
    </font>
    <font>
      <b/>
      <sz val="11"/>
      <color rgb="FF173B5F"/>
      <name val="Carlito"/>
    </font>
    <font>
      <sz val="11"/>
      <color rgb="FF0000FF"/>
      <name val="Carlito"/>
    </font>
    <font>
      <sz val="11"/>
      <color rgb="FF173B5F"/>
      <name val="Carlito"/>
    </font>
  </fonts>
  <fills count="8">
    <fill>
      <patternFill patternType="none"/>
    </fill>
    <fill>
      <patternFill patternType="gray125"/>
    </fill>
    <fill>
      <patternFill patternType="solid">
        <fgColor rgb="FF173B5F"/>
      </patternFill>
    </fill>
    <fill>
      <patternFill patternType="solid">
        <fgColor rgb="FFD9EAF7"/>
      </patternFill>
    </fill>
    <fill>
      <patternFill patternType="solid">
        <fgColor rgb="FFEEF5FA"/>
      </patternFill>
    </fill>
    <fill>
      <patternFill patternType="solid">
        <fgColor rgb="FFFFF2CC"/>
      </patternFill>
    </fill>
    <fill>
      <patternFill patternType="solid">
        <fgColor rgb="FFEEE7FF"/>
      </patternFill>
    </fill>
    <fill>
      <patternFill patternType="solid">
        <fgColor rgb="FF2F6F9F"/>
      </patternFill>
    </fill>
  </fills>
  <borders count="1">
    <border>
      <left/>
      <right/>
      <top/>
      <bottom/>
      <diagonal/>
    </border>
  </borders>
  <cellStyleXfs count="1">
    <xf numFmtId="0" fontId="0" fillId="0" borderId="0"/>
  </cellStyleXfs>
  <cellXfs count="23">
    <xf numFmtId="0" fontId="0" fillId="0" borderId="0" xfId="0"/>
    <xf numFmtId="0" fontId="3" fillId="2" borderId="0" xfId="0" applyNumberFormat="1" applyFont="1" applyFill="1" applyBorder="1"/>
    <xf numFmtId="0" fontId="4" fillId="3" borderId="0" xfId="0" applyNumberFormat="1" applyFont="1" applyFill="1" applyBorder="1"/>
    <xf numFmtId="0" fontId="5" fillId="5" borderId="0" xfId="0" applyNumberFormat="1" applyFont="1" applyFill="1" applyBorder="1"/>
    <xf numFmtId="0" fontId="4" fillId="6" borderId="0" xfId="0" applyNumberFormat="1" applyFont="1" applyFill="1" applyBorder="1"/>
    <xf numFmtId="0" fontId="0" fillId="0" borderId="0" xfId="0" applyNumberFormat="1" applyFont="1" applyFill="1" applyBorder="1" applyAlignment="1">
      <alignment wrapText="1"/>
    </xf>
    <xf numFmtId="0" fontId="3" fillId="7" borderId="0" xfId="0" applyNumberFormat="1" applyFont="1" applyFill="1" applyBorder="1" applyAlignment="1">
      <alignment horizontal="center" vertical="center" wrapText="1"/>
    </xf>
    <xf numFmtId="0" fontId="0" fillId="0" borderId="0" xfId="0" applyNumberFormat="1" applyFont="1" applyFill="1" applyBorder="1"/>
    <xf numFmtId="164" fontId="0" fillId="0" borderId="0" xfId="0" applyNumberFormat="1" applyFont="1" applyFill="1" applyBorder="1"/>
    <xf numFmtId="10" fontId="0" fillId="0" borderId="0" xfId="0" applyNumberFormat="1" applyFont="1" applyFill="1" applyBorder="1"/>
    <xf numFmtId="164" fontId="5" fillId="5" borderId="0" xfId="0" applyNumberFormat="1" applyFont="1" applyFill="1" applyBorder="1"/>
    <xf numFmtId="10" fontId="5" fillId="5" borderId="0" xfId="0" applyNumberFormat="1" applyFont="1" applyFill="1" applyBorder="1"/>
    <xf numFmtId="3" fontId="0" fillId="0" borderId="0" xfId="0" applyNumberFormat="1" applyFont="1" applyFill="1" applyBorder="1"/>
    <xf numFmtId="3" fontId="5" fillId="5" borderId="0" xfId="0" applyNumberFormat="1" applyFont="1" applyFill="1" applyBorder="1"/>
    <xf numFmtId="0" fontId="5" fillId="5" borderId="0" xfId="0" applyNumberFormat="1" applyFont="1" applyFill="1" applyBorder="1" applyAlignment="1">
      <alignment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0" fillId="4" borderId="0" xfId="0" applyNumberFormat="1" applyFont="1" applyFill="1" applyBorder="1" applyAlignment="1">
      <alignment horizontal="center" vertical="center" wrapText="1"/>
    </xf>
    <xf numFmtId="0" fontId="3" fillId="2" borderId="0" xfId="0" applyNumberFormat="1" applyFont="1" applyFill="1" applyBorder="1"/>
    <xf numFmtId="0" fontId="4" fillId="6" borderId="0" xfId="0" applyNumberFormat="1" applyFont="1" applyFill="1" applyBorder="1"/>
    <xf numFmtId="0" fontId="6" fillId="4" borderId="0" xfId="0" applyNumberFormat="1" applyFont="1" applyFill="1" applyBorder="1" applyAlignment="1">
      <alignment vertical="top" wrapText="1"/>
    </xf>
    <xf numFmtId="0" fontId="0" fillId="3" borderId="0" xfId="0" applyNumberFormat="1" applyFont="1" applyFill="1" applyBorder="1" applyAlignment="1">
      <alignment vertical="center" wrapText="1"/>
    </xf>
    <xf numFmtId="0" fontId="0" fillId="4"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heetViews>
  <sheetFormatPr baseColWidth="10" defaultColWidth="8.6640625" defaultRowHeight="14"/>
  <cols>
    <col min="1" max="1" width="28" customWidth="1"/>
    <col min="2" max="2" width="72" customWidth="1"/>
    <col min="3" max="8" width="14" customWidth="1"/>
  </cols>
  <sheetData>
    <row r="1" spans="1:8">
      <c r="A1" s="15" t="s">
        <v>0</v>
      </c>
      <c r="B1" s="15"/>
      <c r="C1" s="15"/>
      <c r="D1" s="15"/>
      <c r="E1" s="15"/>
      <c r="F1" s="15"/>
      <c r="G1" s="15"/>
      <c r="H1" s="15"/>
    </row>
    <row r="2" spans="1:8">
      <c r="A2" s="15"/>
      <c r="B2" s="15"/>
      <c r="C2" s="15"/>
      <c r="D2" s="15"/>
      <c r="E2" s="15"/>
      <c r="F2" s="15"/>
      <c r="G2" s="15"/>
      <c r="H2" s="15"/>
    </row>
    <row r="4" spans="1:8">
      <c r="A4" s="16" t="s">
        <v>1</v>
      </c>
      <c r="B4" s="16"/>
      <c r="C4" s="16"/>
      <c r="D4" s="16"/>
      <c r="E4" s="16"/>
      <c r="F4" s="16"/>
      <c r="G4" s="16"/>
      <c r="H4" s="16"/>
    </row>
    <row r="5" spans="1:8">
      <c r="A5" s="16"/>
      <c r="B5" s="16"/>
      <c r="C5" s="16"/>
      <c r="D5" s="16"/>
      <c r="E5" s="16"/>
      <c r="F5" s="16"/>
      <c r="G5" s="16"/>
      <c r="H5" s="16"/>
    </row>
    <row r="6" spans="1:8">
      <c r="A6" s="16"/>
      <c r="B6" s="16"/>
      <c r="C6" s="16"/>
      <c r="D6" s="16"/>
      <c r="E6" s="16"/>
      <c r="F6" s="16"/>
      <c r="G6" s="16"/>
      <c r="H6" s="16"/>
    </row>
    <row r="8" spans="1:8">
      <c r="A8" s="17" t="s">
        <v>2</v>
      </c>
      <c r="B8" s="17"/>
      <c r="C8" s="17"/>
      <c r="D8" s="17"/>
      <c r="E8" s="17"/>
      <c r="F8" s="17"/>
      <c r="G8" s="17"/>
      <c r="H8" s="17"/>
    </row>
    <row r="9" spans="1:8">
      <c r="A9" s="17"/>
      <c r="B9" s="17"/>
      <c r="C9" s="17"/>
      <c r="D9" s="17"/>
      <c r="E9" s="17"/>
      <c r="F9" s="17"/>
      <c r="G9" s="17"/>
      <c r="H9" s="17"/>
    </row>
    <row r="10" spans="1:8">
      <c r="A10" s="17"/>
      <c r="B10" s="17"/>
      <c r="C10" s="17"/>
      <c r="D10" s="17"/>
      <c r="E10" s="17"/>
      <c r="F10" s="17"/>
      <c r="G10" s="17"/>
      <c r="H10" s="17"/>
    </row>
    <row r="11" spans="1:8">
      <c r="A11" s="17"/>
      <c r="B11" s="17"/>
      <c r="C11" s="17"/>
      <c r="D11" s="17"/>
      <c r="E11" s="17"/>
      <c r="F11" s="17"/>
      <c r="G11" s="17"/>
      <c r="H11" s="17"/>
    </row>
    <row r="14" spans="1:8">
      <c r="A14" s="1" t="s">
        <v>3</v>
      </c>
      <c r="B14" s="1"/>
    </row>
    <row r="15" spans="1:8">
      <c r="A15" s="2" t="s">
        <v>4</v>
      </c>
      <c r="B15" s="3"/>
    </row>
    <row r="16" spans="1:8">
      <c r="A16" s="2" t="s">
        <v>5</v>
      </c>
      <c r="B16" s="3"/>
    </row>
    <row r="17" spans="1:8">
      <c r="A17" s="2" t="s">
        <v>6</v>
      </c>
      <c r="B17" s="3"/>
    </row>
    <row r="18" spans="1:8">
      <c r="A18" s="2" t="s">
        <v>7</v>
      </c>
      <c r="B18" s="3"/>
    </row>
    <row r="19" spans="1:8">
      <c r="A19" s="2" t="s">
        <v>8</v>
      </c>
      <c r="B19" s="3"/>
    </row>
    <row r="22" spans="1:8">
      <c r="A22" s="18" t="s">
        <v>9</v>
      </c>
      <c r="B22" s="18"/>
      <c r="C22" s="18"/>
      <c r="D22" s="18"/>
      <c r="E22" s="18"/>
      <c r="F22" s="18"/>
      <c r="G22" s="18"/>
      <c r="H22" s="18"/>
    </row>
    <row r="23" spans="1:8">
      <c r="A23" s="4" t="s">
        <v>10</v>
      </c>
      <c r="B23" s="5" t="s">
        <v>11</v>
      </c>
    </row>
    <row r="24" spans="1:8">
      <c r="A24" s="4" t="s">
        <v>12</v>
      </c>
      <c r="B24" s="5" t="s">
        <v>13</v>
      </c>
    </row>
    <row r="25" spans="1:8">
      <c r="A25" s="4" t="s">
        <v>14</v>
      </c>
      <c r="B25" s="5" t="s">
        <v>15</v>
      </c>
    </row>
    <row r="26" spans="1:8">
      <c r="A26" s="4" t="s">
        <v>16</v>
      </c>
      <c r="B26" s="5" t="s">
        <v>17</v>
      </c>
    </row>
    <row r="27" spans="1:8">
      <c r="A27" s="4" t="s">
        <v>18</v>
      </c>
      <c r="B27" s="5" t="s">
        <v>19</v>
      </c>
    </row>
    <row r="28" spans="1:8">
      <c r="A28" s="4" t="s">
        <v>20</v>
      </c>
      <c r="B28" s="5" t="s">
        <v>21</v>
      </c>
    </row>
    <row r="29" spans="1:8">
      <c r="A29" s="4" t="s">
        <v>22</v>
      </c>
      <c r="B29" s="5" t="s">
        <v>23</v>
      </c>
    </row>
    <row r="30" spans="1:8">
      <c r="A30" s="4" t="s">
        <v>24</v>
      </c>
      <c r="B30" s="5" t="s">
        <v>25</v>
      </c>
    </row>
  </sheetData>
  <mergeCells count="4">
    <mergeCell ref="A1:H2"/>
    <mergeCell ref="A4:H6"/>
    <mergeCell ref="A8:H11"/>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topLeftCell="A13" workbookViewId="0">
      <selection sqref="A1:H2"/>
    </sheetView>
  </sheetViews>
  <sheetFormatPr baseColWidth="10" defaultColWidth="8.6640625" defaultRowHeight="14"/>
  <cols>
    <col min="1" max="1" width="30" customWidth="1"/>
    <col min="2" max="2" width="36" customWidth="1"/>
    <col min="3" max="3" width="72" customWidth="1"/>
    <col min="4" max="8" width="14" customWidth="1"/>
  </cols>
  <sheetData>
    <row r="1" spans="1:8">
      <c r="A1" s="15" t="s">
        <v>26</v>
      </c>
      <c r="B1" s="15"/>
      <c r="C1" s="15"/>
      <c r="D1" s="15"/>
      <c r="E1" s="15"/>
      <c r="F1" s="15"/>
      <c r="G1" s="15"/>
      <c r="H1" s="15"/>
    </row>
    <row r="2" spans="1:8">
      <c r="A2" s="15"/>
      <c r="B2" s="15"/>
      <c r="C2" s="15"/>
      <c r="D2" s="15"/>
      <c r="E2" s="15"/>
      <c r="F2" s="15"/>
      <c r="G2" s="15"/>
      <c r="H2" s="15"/>
    </row>
    <row r="4" spans="1:8">
      <c r="A4" s="19" t="s">
        <v>27</v>
      </c>
      <c r="B4" s="19"/>
      <c r="C4" s="19"/>
      <c r="D4" s="19"/>
      <c r="E4" s="19"/>
      <c r="F4" s="19"/>
      <c r="G4" s="19"/>
      <c r="H4" s="19"/>
    </row>
    <row r="5" spans="1:8">
      <c r="A5" s="20" t="s">
        <v>28</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1" spans="1:8">
      <c r="A11" s="18" t="s">
        <v>29</v>
      </c>
      <c r="B11" s="18"/>
      <c r="C11" s="18"/>
      <c r="D11" s="18"/>
      <c r="E11" s="18"/>
      <c r="F11" s="18"/>
      <c r="G11" s="18"/>
      <c r="H11" s="18"/>
    </row>
    <row r="12" spans="1:8">
      <c r="A12" s="21" t="s">
        <v>30</v>
      </c>
      <c r="B12" s="21"/>
      <c r="C12" s="21"/>
      <c r="D12" s="21"/>
      <c r="E12" s="21"/>
      <c r="F12" s="21"/>
      <c r="G12" s="21"/>
      <c r="H12" s="21"/>
    </row>
    <row r="13" spans="1:8">
      <c r="A13" s="21"/>
      <c r="B13" s="21"/>
      <c r="C13" s="21"/>
      <c r="D13" s="21"/>
      <c r="E13" s="21"/>
      <c r="F13" s="21"/>
      <c r="G13" s="21"/>
      <c r="H13" s="21"/>
    </row>
    <row r="14" spans="1:8">
      <c r="A14" s="21"/>
      <c r="B14" s="21"/>
      <c r="C14" s="21"/>
      <c r="D14" s="21"/>
      <c r="E14" s="21"/>
      <c r="F14" s="21"/>
      <c r="G14" s="21"/>
      <c r="H14" s="21"/>
    </row>
    <row r="15" spans="1:8">
      <c r="A15" s="21"/>
      <c r="B15" s="21"/>
      <c r="C15" s="21"/>
      <c r="D15" s="21"/>
      <c r="E15" s="21"/>
      <c r="F15" s="21"/>
      <c r="G15" s="21"/>
      <c r="H15" s="21"/>
    </row>
    <row r="17" spans="1:8">
      <c r="A17" s="18" t="s">
        <v>31</v>
      </c>
      <c r="B17" s="18"/>
      <c r="C17" s="18"/>
      <c r="D17" s="18"/>
      <c r="E17" s="18"/>
      <c r="F17" s="18"/>
      <c r="G17" s="18"/>
      <c r="H17" s="18"/>
    </row>
    <row r="18" spans="1:8">
      <c r="A18" s="6" t="s">
        <v>32</v>
      </c>
      <c r="B18" s="6" t="s">
        <v>33</v>
      </c>
      <c r="C18" s="6" t="s">
        <v>34</v>
      </c>
    </row>
    <row r="19" spans="1:8">
      <c r="A19" s="7" t="s">
        <v>35</v>
      </c>
      <c r="B19" s="7" t="s">
        <v>36</v>
      </c>
      <c r="C19" s="5" t="s">
        <v>37</v>
      </c>
    </row>
    <row r="20" spans="1:8">
      <c r="A20" s="7" t="s">
        <v>38</v>
      </c>
      <c r="B20" s="7" t="s">
        <v>39</v>
      </c>
      <c r="C20" s="5" t="s">
        <v>40</v>
      </c>
    </row>
    <row r="21" spans="1:8">
      <c r="A21" s="7" t="s">
        <v>41</v>
      </c>
      <c r="B21" s="7" t="s">
        <v>42</v>
      </c>
      <c r="C21" s="5" t="s">
        <v>43</v>
      </c>
    </row>
    <row r="22" spans="1:8">
      <c r="A22" s="7" t="s">
        <v>44</v>
      </c>
      <c r="B22" s="7" t="s">
        <v>45</v>
      </c>
      <c r="C22" s="5" t="s">
        <v>46</v>
      </c>
    </row>
    <row r="25" spans="1:8">
      <c r="A25" s="18" t="s">
        <v>47</v>
      </c>
      <c r="B25" s="18"/>
      <c r="C25" s="18"/>
      <c r="D25" s="18"/>
      <c r="E25" s="18"/>
      <c r="F25" s="18"/>
      <c r="G25" s="18"/>
      <c r="H25" s="18"/>
    </row>
    <row r="26" spans="1:8">
      <c r="A26" s="22" t="s">
        <v>48</v>
      </c>
      <c r="B26" s="22"/>
      <c r="C26" s="22"/>
      <c r="D26" s="22"/>
      <c r="E26" s="22"/>
      <c r="F26" s="22"/>
      <c r="G26" s="22"/>
      <c r="H26" s="22"/>
    </row>
    <row r="27" spans="1:8">
      <c r="A27" s="22"/>
      <c r="B27" s="22"/>
      <c r="C27" s="22"/>
      <c r="D27" s="22"/>
      <c r="E27" s="22"/>
      <c r="F27" s="22"/>
      <c r="G27" s="22"/>
      <c r="H27" s="22"/>
    </row>
    <row r="28" spans="1:8">
      <c r="A28" s="22"/>
      <c r="B28" s="22"/>
      <c r="C28" s="22"/>
      <c r="D28" s="22"/>
      <c r="E28" s="22"/>
      <c r="F28" s="22"/>
      <c r="G28" s="22"/>
      <c r="H28" s="22"/>
    </row>
    <row r="29" spans="1:8">
      <c r="A29" s="22"/>
      <c r="B29" s="22"/>
      <c r="C29" s="22"/>
      <c r="D29" s="22"/>
      <c r="E29" s="22"/>
      <c r="F29" s="22"/>
      <c r="G29" s="22"/>
      <c r="H29" s="22"/>
    </row>
    <row r="30" spans="1:8">
      <c r="A30" s="22"/>
      <c r="B30" s="22"/>
      <c r="C30" s="22"/>
      <c r="D30" s="22"/>
      <c r="E30" s="22"/>
      <c r="F30" s="22"/>
      <c r="G30" s="22"/>
      <c r="H30" s="22"/>
    </row>
    <row r="31" spans="1:8">
      <c r="A31" s="22"/>
      <c r="B31" s="22"/>
      <c r="C31" s="22"/>
      <c r="D31" s="22"/>
      <c r="E31" s="22"/>
      <c r="F31" s="22"/>
      <c r="G31" s="22"/>
      <c r="H31" s="22"/>
    </row>
    <row r="32" spans="1:8">
      <c r="A32" s="22"/>
      <c r="B32" s="22"/>
      <c r="C32" s="22"/>
      <c r="D32" s="22"/>
      <c r="E32" s="22"/>
      <c r="F32" s="22"/>
      <c r="G32" s="22"/>
      <c r="H32" s="22"/>
    </row>
    <row r="33" spans="1:8">
      <c r="A33" s="22"/>
      <c r="B33" s="22"/>
      <c r="C33" s="22"/>
      <c r="D33" s="22"/>
      <c r="E33" s="22"/>
      <c r="F33" s="22"/>
      <c r="G33" s="22"/>
      <c r="H33" s="22"/>
    </row>
    <row r="34" spans="1:8">
      <c r="A34" s="22"/>
      <c r="B34" s="22"/>
      <c r="C34" s="22"/>
      <c r="D34" s="22"/>
      <c r="E34" s="22"/>
      <c r="F34" s="22"/>
      <c r="G34" s="22"/>
      <c r="H34" s="22"/>
    </row>
  </sheetData>
  <mergeCells count="8">
    <mergeCell ref="A17:H17"/>
    <mergeCell ref="A25:H25"/>
    <mergeCell ref="A26:H34"/>
    <mergeCell ref="A1:H2"/>
    <mergeCell ref="A4:H4"/>
    <mergeCell ref="A5:H9"/>
    <mergeCell ref="A11:H11"/>
    <mergeCell ref="A12: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topLeftCell="A10" workbookViewId="0">
      <selection activeCell="E25" sqref="E25"/>
    </sheetView>
  </sheetViews>
  <sheetFormatPr baseColWidth="10" defaultColWidth="8.6640625" defaultRowHeight="14"/>
  <cols>
    <col min="1" max="1" width="14" customWidth="1"/>
    <col min="2" max="2" width="34" customWidth="1"/>
    <col min="3" max="3" width="44" customWidth="1"/>
    <col min="4" max="5" width="22" customWidth="1"/>
    <col min="6" max="6" width="16" customWidth="1"/>
    <col min="7" max="8" width="14" customWidth="1"/>
  </cols>
  <sheetData>
    <row r="1" spans="1:8">
      <c r="A1" s="15" t="s">
        <v>49</v>
      </c>
      <c r="B1" s="15"/>
      <c r="C1" s="15"/>
      <c r="D1" s="15"/>
      <c r="E1" s="15"/>
      <c r="F1" s="15"/>
      <c r="G1" s="15"/>
      <c r="H1" s="15"/>
    </row>
    <row r="2" spans="1:8">
      <c r="A2" s="15"/>
      <c r="B2" s="15"/>
      <c r="C2" s="15"/>
      <c r="D2" s="15"/>
      <c r="E2" s="15"/>
      <c r="F2" s="15"/>
      <c r="G2" s="15"/>
      <c r="H2" s="15"/>
    </row>
    <row r="4" spans="1:8">
      <c r="A4" s="19" t="s">
        <v>50</v>
      </c>
      <c r="B4" s="19"/>
      <c r="C4" s="19"/>
      <c r="D4" s="19"/>
      <c r="E4" s="19"/>
      <c r="F4" s="19"/>
      <c r="G4" s="19"/>
      <c r="H4" s="19"/>
    </row>
    <row r="5" spans="1:8">
      <c r="A5" s="20" t="s">
        <v>51</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1" spans="1:8">
      <c r="A11" s="18" t="s">
        <v>52</v>
      </c>
      <c r="B11" s="18"/>
      <c r="C11" s="18"/>
      <c r="D11" s="18"/>
      <c r="E11" s="18"/>
      <c r="F11" s="18"/>
      <c r="G11" s="18"/>
      <c r="H11" s="18"/>
    </row>
    <row r="12" spans="1:8">
      <c r="A12" s="6" t="s">
        <v>53</v>
      </c>
      <c r="B12" s="6" t="s">
        <v>54</v>
      </c>
      <c r="C12" s="6" t="s">
        <v>55</v>
      </c>
      <c r="D12" s="6" t="s">
        <v>56</v>
      </c>
    </row>
    <row r="13" spans="1:8">
      <c r="A13" s="7">
        <v>2022</v>
      </c>
      <c r="B13" s="8">
        <v>3.6</v>
      </c>
      <c r="C13" s="9"/>
      <c r="D13" s="7" t="s">
        <v>57</v>
      </c>
    </row>
    <row r="14" spans="1:8">
      <c r="A14" s="7">
        <v>2023</v>
      </c>
      <c r="B14" s="8">
        <v>3.78</v>
      </c>
      <c r="C14" s="9">
        <f>B14/B13-1</f>
        <v>4.9999999999999822E-2</v>
      </c>
      <c r="D14" s="7" t="s">
        <v>58</v>
      </c>
    </row>
    <row r="15" spans="1:8">
      <c r="A15" s="7">
        <v>2024</v>
      </c>
      <c r="B15" s="8">
        <v>3.99</v>
      </c>
      <c r="C15" s="9">
        <f>B15/B14-1</f>
        <v>5.555555555555558E-2</v>
      </c>
      <c r="D15" s="7" t="s">
        <v>59</v>
      </c>
    </row>
    <row r="16" spans="1:8">
      <c r="A16" s="7">
        <v>2025</v>
      </c>
      <c r="B16" s="8">
        <v>4.2</v>
      </c>
      <c r="C16" s="9">
        <f>B16/B15-1</f>
        <v>5.2631578947368363E-2</v>
      </c>
      <c r="D16" s="7" t="s">
        <v>60</v>
      </c>
    </row>
    <row r="19" spans="1:8">
      <c r="A19" s="18" t="s">
        <v>61</v>
      </c>
      <c r="B19" s="18"/>
      <c r="C19" s="18"/>
      <c r="D19" s="18"/>
      <c r="E19" s="18"/>
      <c r="F19" s="18"/>
      <c r="G19" s="18"/>
      <c r="H19" s="18"/>
    </row>
    <row r="20" spans="1:8">
      <c r="A20" s="6" t="s">
        <v>62</v>
      </c>
      <c r="B20" s="6" t="s">
        <v>63</v>
      </c>
      <c r="C20" s="6" t="s">
        <v>64</v>
      </c>
      <c r="D20" s="6" t="s">
        <v>65</v>
      </c>
      <c r="E20" s="6"/>
      <c r="F20" s="6" t="s">
        <v>67</v>
      </c>
    </row>
    <row r="21" spans="1:8">
      <c r="A21" s="7">
        <v>1</v>
      </c>
      <c r="B21" s="7" t="s">
        <v>68</v>
      </c>
      <c r="C21" s="3"/>
      <c r="D21" s="10"/>
      <c r="E21" s="7"/>
      <c r="F21" s="7" t="str">
        <f>IF(D21="","Pendiente",IF(ABS(D21-E21)&lt;0.0001,"Correcto","Revisar"))</f>
        <v>Pendiente</v>
      </c>
    </row>
    <row r="22" spans="1:8">
      <c r="A22" s="7">
        <v>2</v>
      </c>
      <c r="B22" s="7" t="s">
        <v>69</v>
      </c>
      <c r="C22" s="3"/>
      <c r="D22" s="11"/>
      <c r="E22" s="7"/>
      <c r="F22" s="7" t="str">
        <f>IF(D22="","Pendiente",IF(ABS(D22-E22)&lt;0.0001,"Correcto","Revisar"))</f>
        <v>Pendiente</v>
      </c>
    </row>
    <row r="23" spans="1:8">
      <c r="A23" s="7">
        <v>3</v>
      </c>
      <c r="B23" s="7" t="s">
        <v>70</v>
      </c>
      <c r="C23" s="3"/>
      <c r="D23" s="11"/>
      <c r="E23" s="7"/>
      <c r="F23" s="7" t="str">
        <f>IF(D23="","Pendiente",IF(ABS(D23-E23)&lt;0.0001,"Correcto","Revisar"))</f>
        <v>Pendiente</v>
      </c>
    </row>
    <row r="24" spans="1:8">
      <c r="A24" s="7">
        <v>4</v>
      </c>
      <c r="B24" s="7" t="s">
        <v>71</v>
      </c>
      <c r="C24" s="3"/>
      <c r="D24" s="11"/>
      <c r="E24" s="7"/>
      <c r="F24" s="7" t="str">
        <f>IF(D24="","Pendiente",IF(ABS(D24-E24)&lt;0.0001,"Correcto","Revisar"))</f>
        <v>Pendiente</v>
      </c>
    </row>
  </sheetData>
  <mergeCells count="5">
    <mergeCell ref="A1:H2"/>
    <mergeCell ref="A4:H4"/>
    <mergeCell ref="A5:H9"/>
    <mergeCell ref="A11:H11"/>
    <mergeCell ref="A19:H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topLeftCell="A5" workbookViewId="0">
      <selection activeCell="E25" sqref="E25"/>
    </sheetView>
  </sheetViews>
  <sheetFormatPr baseColWidth="10" defaultColWidth="8.6640625" defaultRowHeight="14"/>
  <cols>
    <col min="1" max="1" width="14" customWidth="1"/>
    <col min="2" max="2" width="38" customWidth="1"/>
    <col min="3" max="3" width="46" customWidth="1"/>
    <col min="4" max="5" width="22" customWidth="1"/>
    <col min="6" max="6" width="16" customWidth="1"/>
    <col min="7" max="8" width="14" customWidth="1"/>
  </cols>
  <sheetData>
    <row r="1" spans="1:8">
      <c r="A1" s="15" t="s">
        <v>72</v>
      </c>
      <c r="B1" s="15"/>
      <c r="C1" s="15"/>
      <c r="D1" s="15"/>
      <c r="E1" s="15"/>
      <c r="F1" s="15"/>
      <c r="G1" s="15"/>
      <c r="H1" s="15"/>
    </row>
    <row r="2" spans="1:8">
      <c r="A2" s="15"/>
      <c r="B2" s="15"/>
      <c r="C2" s="15"/>
      <c r="D2" s="15"/>
      <c r="E2" s="15"/>
      <c r="F2" s="15"/>
      <c r="G2" s="15"/>
      <c r="H2" s="15"/>
    </row>
    <row r="4" spans="1:8">
      <c r="A4" s="19" t="s">
        <v>50</v>
      </c>
      <c r="B4" s="19"/>
      <c r="C4" s="19"/>
      <c r="D4" s="19"/>
      <c r="E4" s="19"/>
      <c r="F4" s="19"/>
      <c r="G4" s="19"/>
      <c r="H4" s="19"/>
    </row>
    <row r="5" spans="1:8">
      <c r="A5" s="20" t="s">
        <v>73</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2" spans="1:8">
      <c r="A12" s="18" t="s">
        <v>74</v>
      </c>
      <c r="B12" s="18"/>
      <c r="C12" s="18"/>
      <c r="D12" s="18"/>
      <c r="E12" s="18"/>
      <c r="F12" s="18"/>
      <c r="G12" s="18"/>
      <c r="H12" s="18"/>
    </row>
    <row r="13" spans="1:8">
      <c r="A13" s="6" t="s">
        <v>63</v>
      </c>
      <c r="B13" s="6" t="s">
        <v>75</v>
      </c>
      <c r="C13" s="6" t="s">
        <v>76</v>
      </c>
    </row>
    <row r="14" spans="1:8">
      <c r="A14" s="7" t="s">
        <v>68</v>
      </c>
      <c r="B14" s="8">
        <v>4.2</v>
      </c>
      <c r="C14" s="5" t="s">
        <v>77</v>
      </c>
    </row>
    <row r="15" spans="1:8">
      <c r="A15" s="7" t="s">
        <v>78</v>
      </c>
      <c r="B15" s="9">
        <v>0.05</v>
      </c>
      <c r="C15" s="5" t="s">
        <v>79</v>
      </c>
    </row>
    <row r="16" spans="1:8">
      <c r="A16" s="7" t="s">
        <v>39</v>
      </c>
      <c r="B16" s="7" t="s">
        <v>80</v>
      </c>
      <c r="C16" s="5" t="s">
        <v>81</v>
      </c>
    </row>
    <row r="17" spans="1:8">
      <c r="A17" s="7" t="s">
        <v>82</v>
      </c>
      <c r="B17" s="12">
        <v>100000</v>
      </c>
      <c r="C17" s="5" t="s">
        <v>83</v>
      </c>
    </row>
    <row r="20" spans="1:8">
      <c r="A20" s="18" t="s">
        <v>61</v>
      </c>
      <c r="B20" s="18"/>
      <c r="C20" s="18"/>
      <c r="D20" s="18"/>
      <c r="E20" s="18"/>
      <c r="F20" s="18"/>
      <c r="G20" s="18"/>
      <c r="H20" s="18"/>
    </row>
    <row r="21" spans="1:8">
      <c r="A21" s="6" t="s">
        <v>62</v>
      </c>
      <c r="B21" s="6" t="s">
        <v>63</v>
      </c>
      <c r="C21" s="6" t="s">
        <v>64</v>
      </c>
      <c r="D21" s="6" t="s">
        <v>65</v>
      </c>
      <c r="E21" s="6" t="s">
        <v>66</v>
      </c>
      <c r="F21" s="6" t="s">
        <v>67</v>
      </c>
    </row>
    <row r="22" spans="1:8">
      <c r="A22" s="7">
        <v>1</v>
      </c>
      <c r="B22" s="7" t="s">
        <v>84</v>
      </c>
      <c r="C22" s="3"/>
      <c r="D22" s="10"/>
      <c r="E22" s="7"/>
      <c r="F22" s="7" t="str">
        <f>IF(D22="","Pendiente",IF(ABS(D22-E22)&lt;0.0001,"Correcto","Revisar"))</f>
        <v>Pendiente</v>
      </c>
    </row>
    <row r="23" spans="1:8">
      <c r="A23" s="7">
        <v>2</v>
      </c>
      <c r="B23" s="7" t="s">
        <v>85</v>
      </c>
      <c r="C23" s="3"/>
      <c r="D23" s="11"/>
      <c r="E23" s="7"/>
      <c r="F23" s="7" t="str">
        <f>IF(D23="","Pendiente",IF(ABS(D23-E23)&lt;0.0001,"Correcto","Revisar"))</f>
        <v>Pendiente</v>
      </c>
    </row>
    <row r="24" spans="1:8">
      <c r="A24" s="7">
        <v>3</v>
      </c>
      <c r="B24" s="7" t="s">
        <v>86</v>
      </c>
      <c r="C24" s="3"/>
      <c r="D24" s="10"/>
      <c r="E24" s="7"/>
      <c r="F24" s="7" t="str">
        <f>IF(D24="","Pendiente",IF(ABS(D24-E24)&lt;0.0001,"Correcto","Revisar"))</f>
        <v>Pendiente</v>
      </c>
    </row>
  </sheetData>
  <mergeCells count="5">
    <mergeCell ref="A1:H2"/>
    <mergeCell ref="A4:H4"/>
    <mergeCell ref="A5:H10"/>
    <mergeCell ref="A12:H12"/>
    <mergeCell ref="A20:H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topLeftCell="A7" workbookViewId="0">
      <selection activeCell="E24" sqref="E24"/>
    </sheetView>
  </sheetViews>
  <sheetFormatPr baseColWidth="10" defaultColWidth="8.6640625" defaultRowHeight="14"/>
  <cols>
    <col min="1" max="1" width="14" customWidth="1"/>
    <col min="2" max="2" width="40" customWidth="1"/>
    <col min="3" max="3" width="50" customWidth="1"/>
    <col min="4" max="5" width="22" customWidth="1"/>
    <col min="6" max="6" width="16" customWidth="1"/>
    <col min="7" max="8" width="14" customWidth="1"/>
  </cols>
  <sheetData>
    <row r="1" spans="1:8">
      <c r="A1" s="15" t="s">
        <v>87</v>
      </c>
      <c r="B1" s="15"/>
      <c r="C1" s="15"/>
      <c r="D1" s="15"/>
      <c r="E1" s="15"/>
      <c r="F1" s="15"/>
      <c r="G1" s="15"/>
      <c r="H1" s="15"/>
    </row>
    <row r="2" spans="1:8">
      <c r="A2" s="15"/>
      <c r="B2" s="15"/>
      <c r="C2" s="15"/>
      <c r="D2" s="15"/>
      <c r="E2" s="15"/>
      <c r="F2" s="15"/>
      <c r="G2" s="15"/>
      <c r="H2" s="15"/>
    </row>
    <row r="4" spans="1:8">
      <c r="A4" s="19" t="s">
        <v>50</v>
      </c>
      <c r="B4" s="19"/>
      <c r="C4" s="19"/>
      <c r="D4" s="19"/>
      <c r="E4" s="19"/>
      <c r="F4" s="19"/>
      <c r="G4" s="19"/>
      <c r="H4" s="19"/>
    </row>
    <row r="5" spans="1:8">
      <c r="A5" s="20" t="s">
        <v>88</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2" spans="1:8">
      <c r="A12" s="18" t="s">
        <v>89</v>
      </c>
      <c r="B12" s="18"/>
      <c r="C12" s="18"/>
      <c r="D12" s="18"/>
      <c r="E12" s="18"/>
      <c r="F12" s="18"/>
      <c r="G12" s="18"/>
      <c r="H12" s="18"/>
    </row>
    <row r="13" spans="1:8">
      <c r="A13" s="6" t="s">
        <v>63</v>
      </c>
      <c r="B13" s="6" t="s">
        <v>75</v>
      </c>
      <c r="C13" s="6" t="s">
        <v>76</v>
      </c>
    </row>
    <row r="14" spans="1:8">
      <c r="A14" s="7" t="s">
        <v>90</v>
      </c>
      <c r="B14" s="9">
        <v>0.12</v>
      </c>
      <c r="C14" s="5" t="s">
        <v>91</v>
      </c>
    </row>
    <row r="15" spans="1:8">
      <c r="A15" s="7" t="s">
        <v>92</v>
      </c>
      <c r="B15" s="9">
        <v>0.05</v>
      </c>
      <c r="C15" s="5" t="s">
        <v>93</v>
      </c>
    </row>
    <row r="16" spans="1:8">
      <c r="A16" s="7" t="s">
        <v>94</v>
      </c>
      <c r="B16" s="8">
        <v>60</v>
      </c>
      <c r="C16" s="5" t="s">
        <v>95</v>
      </c>
    </row>
    <row r="17" spans="1:8">
      <c r="A17" s="7" t="s">
        <v>96</v>
      </c>
      <c r="B17" s="7" t="s">
        <v>97</v>
      </c>
      <c r="C17" s="5" t="s">
        <v>98</v>
      </c>
    </row>
    <row r="20" spans="1:8">
      <c r="A20" s="18" t="s">
        <v>61</v>
      </c>
      <c r="B20" s="18"/>
      <c r="C20" s="18"/>
      <c r="D20" s="18"/>
      <c r="E20" s="18"/>
      <c r="F20" s="18"/>
      <c r="G20" s="18"/>
      <c r="H20" s="18"/>
    </row>
    <row r="21" spans="1:8">
      <c r="A21" s="6" t="s">
        <v>62</v>
      </c>
      <c r="B21" s="6" t="s">
        <v>63</v>
      </c>
      <c r="C21" s="6" t="s">
        <v>99</v>
      </c>
      <c r="D21" s="6" t="s">
        <v>65</v>
      </c>
      <c r="E21" s="6"/>
      <c r="F21" s="6" t="s">
        <v>67</v>
      </c>
    </row>
    <row r="22" spans="1:8">
      <c r="A22" s="7">
        <v>1</v>
      </c>
      <c r="B22" s="7" t="s">
        <v>100</v>
      </c>
      <c r="C22" s="3"/>
      <c r="D22" s="11"/>
      <c r="E22" s="7"/>
      <c r="F22" s="7" t="str">
        <f>IF(D22="","Pendiente",IF(ABS(D22-E22)&lt;0.0001,"Correcto","Revisar"))</f>
        <v>Pendiente</v>
      </c>
    </row>
    <row r="23" spans="1:8">
      <c r="A23" s="7">
        <v>2</v>
      </c>
      <c r="B23" s="7" t="s">
        <v>85</v>
      </c>
      <c r="C23" s="3"/>
      <c r="D23" s="11"/>
      <c r="E23" s="7"/>
      <c r="F23" s="7" t="str">
        <f>IF(D23="","Pendiente",IF(ABS(D23-E23)&lt;0.0001,"Correcto","Revisar"))</f>
        <v>Pendiente</v>
      </c>
    </row>
    <row r="24" spans="1:8">
      <c r="A24" s="7">
        <v>3</v>
      </c>
      <c r="B24" s="7" t="s">
        <v>101</v>
      </c>
      <c r="C24" s="3"/>
      <c r="D24" s="3"/>
      <c r="E24" s="7" t="s">
        <v>102</v>
      </c>
      <c r="F24" s="7" t="str">
        <f>IF(D24="","Pendiente",IF(D24=E24,"Correcto","Revisar"))</f>
        <v>Pendiente</v>
      </c>
    </row>
  </sheetData>
  <mergeCells count="5">
    <mergeCell ref="A1:H2"/>
    <mergeCell ref="A4:H4"/>
    <mergeCell ref="A5:H10"/>
    <mergeCell ref="A12:H12"/>
    <mergeCell ref="A20:H20"/>
  </mergeCells>
  <dataValidations count="1">
    <dataValidation type="list" sqref="D24" xr:uid="{00000000-0002-0000-0400-000000000000}">
      <formula1>"Sí,No"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topLeftCell="A4" zoomScale="90" workbookViewId="0">
      <selection activeCell="C27" sqref="C27"/>
    </sheetView>
  </sheetViews>
  <sheetFormatPr baseColWidth="10" defaultColWidth="8.6640625" defaultRowHeight="14"/>
  <cols>
    <col min="1" max="1" width="34" customWidth="1"/>
    <col min="2" max="2" width="58" customWidth="1"/>
    <col min="3" max="3" width="54" customWidth="1"/>
    <col min="4" max="5" width="22" customWidth="1"/>
    <col min="6" max="6" width="16" customWidth="1"/>
    <col min="7" max="8" width="14" customWidth="1"/>
  </cols>
  <sheetData>
    <row r="1" spans="1:8">
      <c r="A1" s="15" t="s">
        <v>103</v>
      </c>
      <c r="B1" s="15"/>
      <c r="C1" s="15"/>
      <c r="D1" s="15"/>
      <c r="E1" s="15"/>
      <c r="F1" s="15"/>
      <c r="G1" s="15"/>
      <c r="H1" s="15"/>
    </row>
    <row r="2" spans="1:8">
      <c r="A2" s="15"/>
      <c r="B2" s="15"/>
      <c r="C2" s="15"/>
      <c r="D2" s="15"/>
      <c r="E2" s="15"/>
      <c r="F2" s="15"/>
      <c r="G2" s="15"/>
      <c r="H2" s="15"/>
    </row>
    <row r="4" spans="1:8">
      <c r="A4" s="19" t="s">
        <v>104</v>
      </c>
      <c r="B4" s="19"/>
      <c r="C4" s="19"/>
      <c r="D4" s="19"/>
      <c r="E4" s="19"/>
      <c r="F4" s="19"/>
      <c r="G4" s="19"/>
      <c r="H4" s="19"/>
    </row>
    <row r="5" spans="1:8">
      <c r="A5" s="20" t="s">
        <v>105</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1" spans="1:8">
      <c r="A11" s="20"/>
      <c r="B11" s="20"/>
      <c r="C11" s="20"/>
      <c r="D11" s="20"/>
      <c r="E11" s="20"/>
      <c r="F11" s="20"/>
      <c r="G11" s="20"/>
      <c r="H11" s="20"/>
    </row>
    <row r="13" spans="1:8">
      <c r="A13" s="18" t="s">
        <v>106</v>
      </c>
      <c r="B13" s="18"/>
      <c r="C13" s="18"/>
      <c r="D13" s="18"/>
      <c r="E13" s="18"/>
      <c r="F13" s="18"/>
      <c r="G13" s="18"/>
      <c r="H13" s="18"/>
    </row>
    <row r="14" spans="1:8">
      <c r="A14" s="6" t="s">
        <v>62</v>
      </c>
      <c r="B14" s="6" t="s">
        <v>63</v>
      </c>
      <c r="C14" s="6" t="s">
        <v>64</v>
      </c>
      <c r="D14" s="6" t="s">
        <v>65</v>
      </c>
      <c r="E14" s="6" t="s">
        <v>66</v>
      </c>
      <c r="F14" s="6" t="s">
        <v>67</v>
      </c>
    </row>
    <row r="15" spans="1:8">
      <c r="A15" s="7">
        <v>1</v>
      </c>
      <c r="B15" s="7" t="s">
        <v>86</v>
      </c>
      <c r="C15" s="3"/>
      <c r="D15" s="10"/>
      <c r="E15" s="8">
        <v>4.41</v>
      </c>
      <c r="F15" s="7" t="str">
        <f>IF(D15="","Pendiente",IF(ABS(D15-E15)&lt;0.0001,"Correcto","Revisar"))</f>
        <v>Pendiente</v>
      </c>
    </row>
    <row r="16" spans="1:8">
      <c r="A16" s="7">
        <v>2</v>
      </c>
      <c r="B16" s="7" t="s">
        <v>90</v>
      </c>
      <c r="C16" s="3"/>
      <c r="D16" s="11"/>
      <c r="E16" s="9">
        <v>0.12</v>
      </c>
      <c r="F16" s="7" t="str">
        <f>IF(D16="","Pendiente",IF(ABS(D16-E16)&lt;0.0001,"Correcto","Revisar"))</f>
        <v>Pendiente</v>
      </c>
    </row>
    <row r="17" spans="1:8">
      <c r="A17" s="7">
        <v>3</v>
      </c>
      <c r="B17" s="7" t="s">
        <v>107</v>
      </c>
      <c r="C17" s="3"/>
      <c r="D17" s="11"/>
      <c r="E17" s="9">
        <v>0.05</v>
      </c>
      <c r="F17" s="7" t="str">
        <f>IF(D17="","Pendiente",IF(ABS(D17-E17)&lt;0.0001,"Correcto","Revisar"))</f>
        <v>Pendiente</v>
      </c>
    </row>
    <row r="18" spans="1:8">
      <c r="A18" s="7">
        <v>4</v>
      </c>
      <c r="B18" s="7" t="s">
        <v>108</v>
      </c>
      <c r="C18" s="3"/>
      <c r="D18" s="11"/>
      <c r="E18" s="9">
        <v>6.9999999999999993E-2</v>
      </c>
      <c r="F18" s="7" t="str">
        <f>IF(D18="","Pendiente",IF(ABS(D18-E18)&lt;0.0001,"Correcto","Revisar"))</f>
        <v>Pendiente</v>
      </c>
    </row>
    <row r="19" spans="1:8">
      <c r="A19" s="7">
        <v>5</v>
      </c>
      <c r="B19" s="7" t="s">
        <v>109</v>
      </c>
      <c r="C19" s="3"/>
      <c r="D19" s="10"/>
      <c r="E19" s="8">
        <v>63.000000000000007</v>
      </c>
      <c r="F19" s="7" t="str">
        <f>IF(D19="","Pendiente",IF(ABS(D19-E19)&lt;0.0001,"Correcto","Revisar"))</f>
        <v>Pendiente</v>
      </c>
    </row>
    <row r="22" spans="1:8">
      <c r="A22" s="18" t="s">
        <v>110</v>
      </c>
      <c r="B22" s="18"/>
      <c r="C22" s="18"/>
      <c r="D22" s="18"/>
      <c r="E22" s="18"/>
      <c r="F22" s="18"/>
      <c r="G22" s="18"/>
      <c r="H22" s="18"/>
    </row>
    <row r="23" spans="1:8">
      <c r="A23" s="6" t="s">
        <v>111</v>
      </c>
      <c r="B23" s="6" t="s">
        <v>112</v>
      </c>
      <c r="C23" s="6" t="s">
        <v>113</v>
      </c>
    </row>
    <row r="24" spans="1:8">
      <c r="A24" s="7" t="s">
        <v>114</v>
      </c>
      <c r="B24" s="3"/>
      <c r="C24" s="7"/>
    </row>
    <row r="25" spans="1:8">
      <c r="A25" s="7" t="s">
        <v>115</v>
      </c>
      <c r="B25" s="10"/>
      <c r="C25" s="7"/>
    </row>
    <row r="26" spans="1:8">
      <c r="A26" s="7" t="s">
        <v>116</v>
      </c>
      <c r="B26" s="3"/>
      <c r="C26" s="7"/>
    </row>
  </sheetData>
  <mergeCells count="5">
    <mergeCell ref="A1:H2"/>
    <mergeCell ref="A4:H4"/>
    <mergeCell ref="A5:H11"/>
    <mergeCell ref="A13:H13"/>
    <mergeCell ref="A22:H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topLeftCell="A4" zoomScale="81" workbookViewId="0">
      <selection activeCell="D18" sqref="D18"/>
    </sheetView>
  </sheetViews>
  <sheetFormatPr baseColWidth="10" defaultColWidth="8.6640625" defaultRowHeight="14"/>
  <cols>
    <col min="1" max="1" width="50" customWidth="1"/>
    <col min="2" max="2" width="58" customWidth="1"/>
    <col min="3" max="3" width="24" customWidth="1"/>
    <col min="4" max="4" width="28" customWidth="1"/>
    <col min="5" max="5" width="16" customWidth="1"/>
    <col min="6" max="6" width="48" customWidth="1"/>
    <col min="7" max="8" width="14" customWidth="1"/>
  </cols>
  <sheetData>
    <row r="1" spans="1:8">
      <c r="A1" s="15" t="s">
        <v>117</v>
      </c>
      <c r="B1" s="15"/>
      <c r="C1" s="15"/>
      <c r="D1" s="15"/>
      <c r="E1" s="15"/>
      <c r="F1" s="15"/>
      <c r="G1" s="15"/>
      <c r="H1" s="15"/>
    </row>
    <row r="2" spans="1:8">
      <c r="A2" s="15"/>
      <c r="B2" s="15"/>
      <c r="C2" s="15"/>
      <c r="D2" s="15"/>
      <c r="E2" s="15"/>
      <c r="F2" s="15"/>
      <c r="G2" s="15"/>
      <c r="H2" s="15"/>
    </row>
    <row r="4" spans="1:8">
      <c r="A4" s="19" t="s">
        <v>118</v>
      </c>
      <c r="B4" s="19"/>
      <c r="C4" s="19"/>
      <c r="D4" s="19"/>
      <c r="E4" s="19"/>
      <c r="F4" s="19"/>
      <c r="G4" s="19"/>
      <c r="H4" s="19"/>
    </row>
    <row r="5" spans="1:8">
      <c r="A5" s="20" t="s">
        <v>119</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2" spans="1:8">
      <c r="A12" s="18" t="s">
        <v>120</v>
      </c>
      <c r="B12" s="18"/>
      <c r="C12" s="18"/>
      <c r="D12" s="18"/>
      <c r="E12" s="18"/>
      <c r="F12" s="18"/>
      <c r="G12" s="18"/>
      <c r="H12" s="18"/>
    </row>
    <row r="13" spans="1:8">
      <c r="A13" s="6" t="s">
        <v>63</v>
      </c>
      <c r="B13" s="6" t="s">
        <v>64</v>
      </c>
      <c r="C13" s="6" t="s">
        <v>65</v>
      </c>
      <c r="D13" s="6" t="s">
        <v>66</v>
      </c>
      <c r="E13" s="6" t="s">
        <v>67</v>
      </c>
      <c r="F13" s="6" t="s">
        <v>121</v>
      </c>
    </row>
    <row r="14" spans="1:8">
      <c r="A14" s="7" t="s">
        <v>109</v>
      </c>
      <c r="B14" s="3"/>
      <c r="C14" s="10"/>
      <c r="D14" s="8"/>
      <c r="E14" s="7" t="str">
        <f>IF(C14="","Pendiente",IF(ABS(C14-D14)&lt;0.0001,"Correcto","Revisar"))</f>
        <v>Pendiente</v>
      </c>
      <c r="F14" s="7" t="s">
        <v>122</v>
      </c>
    </row>
    <row r="15" spans="1:8">
      <c r="A15" s="7" t="s">
        <v>123</v>
      </c>
      <c r="B15" s="3"/>
      <c r="C15" s="10"/>
      <c r="D15" s="8"/>
      <c r="E15" s="7" t="str">
        <f>IF(C15="","Pendiente",IF(ABS(C15-D15)&lt;0.0001,"Correcto","Revisar"))</f>
        <v>Pendiente</v>
      </c>
      <c r="F15" s="7" t="s">
        <v>124</v>
      </c>
    </row>
    <row r="16" spans="1:8">
      <c r="A16" s="7" t="s">
        <v>125</v>
      </c>
      <c r="B16" s="3"/>
      <c r="C16" s="10"/>
      <c r="D16" s="8"/>
      <c r="E16" s="7" t="str">
        <f>IF(C16="","Pendiente",IF(ABS(C16-D16)&lt;0.0001,"Correcto","Revisar"))</f>
        <v>Pendiente</v>
      </c>
      <c r="F16" s="7" t="s">
        <v>126</v>
      </c>
    </row>
    <row r="17" spans="1:8">
      <c r="A17" s="7" t="s">
        <v>127</v>
      </c>
      <c r="B17" s="3"/>
      <c r="C17" s="11"/>
      <c r="D17" s="9"/>
      <c r="E17" s="7" t="str">
        <f>IF(C17="","Pendiente",IF(ABS(C17-D17)&lt;0.0001,"Correcto","Revisar"))</f>
        <v>Pendiente</v>
      </c>
      <c r="F17" s="7" t="s">
        <v>128</v>
      </c>
    </row>
    <row r="20" spans="1:8">
      <c r="A20" s="18" t="s">
        <v>129</v>
      </c>
      <c r="B20" s="18"/>
      <c r="C20" s="18"/>
      <c r="D20" s="18"/>
      <c r="E20" s="18"/>
      <c r="F20" s="18"/>
      <c r="G20" s="18"/>
      <c r="H20" s="18"/>
    </row>
    <row r="21" spans="1:8">
      <c r="A21" s="6" t="s">
        <v>130</v>
      </c>
      <c r="B21" s="6" t="s">
        <v>76</v>
      </c>
      <c r="C21" s="6" t="s">
        <v>65</v>
      </c>
      <c r="D21" s="6" t="s">
        <v>131</v>
      </c>
      <c r="E21" s="6" t="s">
        <v>67</v>
      </c>
    </row>
    <row r="22" spans="1:8">
      <c r="A22" s="7" t="s">
        <v>132</v>
      </c>
      <c r="B22" s="3"/>
      <c r="C22" s="3"/>
      <c r="D22" s="7" t="s">
        <v>133</v>
      </c>
      <c r="E22" s="7" t="str">
        <f>IF(C22="","Pendiente",IF(C22=D22,"Correcto","Revisar"))</f>
        <v>Pendiente</v>
      </c>
    </row>
    <row r="23" spans="1:8">
      <c r="A23" s="7" t="s">
        <v>134</v>
      </c>
      <c r="B23" s="3"/>
      <c r="C23" s="3"/>
      <c r="D23" s="7" t="s">
        <v>102</v>
      </c>
      <c r="E23" s="7" t="str">
        <f>IF(C23="","Pendiente",IF(C23=D23,"Correcto","Revisar"))</f>
        <v>Pendiente</v>
      </c>
    </row>
    <row r="24" spans="1:8">
      <c r="A24" s="7" t="s">
        <v>135</v>
      </c>
      <c r="B24" s="3"/>
      <c r="C24" s="3"/>
      <c r="D24" s="7" t="s">
        <v>136</v>
      </c>
      <c r="E24" s="7" t="str">
        <f>IF(C24="","Pendiente",IF(C24=D24,"Correcto","Revisar"))</f>
        <v>Pendiente</v>
      </c>
    </row>
  </sheetData>
  <mergeCells count="5">
    <mergeCell ref="A1:H2"/>
    <mergeCell ref="A4:H4"/>
    <mergeCell ref="A5:H10"/>
    <mergeCell ref="A12:H12"/>
    <mergeCell ref="A20:H20"/>
  </mergeCells>
  <dataValidations count="3">
    <dataValidation type="list" sqref="C22" xr:uid="{00000000-0002-0000-0600-000000000000}">
      <formula1>"Subvalorada,Sobrevalorada,Valor razonable"</formula1>
    </dataValidation>
    <dataValidation type="list" sqref="C23" xr:uid="{00000000-0002-0000-0600-000001000000}">
      <formula1>"Sí,No"</formula1>
    </dataValidation>
    <dataValidation type="list" sqref="C24" xr:uid="{00000000-0002-0000-0600-000002000000}">
      <formula1>"Analizar compra,Mantener,Evitar compra"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topLeftCell="A4" zoomScale="63" workbookViewId="0">
      <selection activeCell="E18" sqref="E18"/>
    </sheetView>
  </sheetViews>
  <sheetFormatPr baseColWidth="10" defaultColWidth="8.6640625" defaultRowHeight="14"/>
  <cols>
    <col min="1" max="1" width="56" customWidth="1"/>
    <col min="2" max="2" width="64" customWidth="1"/>
    <col min="3" max="3" width="54" customWidth="1"/>
    <col min="4" max="4" width="22" customWidth="1"/>
    <col min="5" max="5" width="24" customWidth="1"/>
    <col min="6" max="6" width="16" customWidth="1"/>
    <col min="7" max="8" width="14" customWidth="1"/>
  </cols>
  <sheetData>
    <row r="1" spans="1:8">
      <c r="A1" s="15" t="s">
        <v>137</v>
      </c>
      <c r="B1" s="15"/>
      <c r="C1" s="15"/>
      <c r="D1" s="15"/>
      <c r="E1" s="15"/>
      <c r="F1" s="15"/>
      <c r="G1" s="15"/>
      <c r="H1" s="15"/>
    </row>
    <row r="2" spans="1:8">
      <c r="A2" s="15"/>
      <c r="B2" s="15"/>
      <c r="C2" s="15"/>
      <c r="D2" s="15"/>
      <c r="E2" s="15"/>
      <c r="F2" s="15"/>
      <c r="G2" s="15"/>
      <c r="H2" s="15"/>
    </row>
    <row r="4" spans="1:8">
      <c r="A4" s="19" t="s">
        <v>50</v>
      </c>
      <c r="B4" s="19"/>
      <c r="C4" s="19"/>
      <c r="D4" s="19"/>
      <c r="E4" s="19"/>
      <c r="F4" s="19"/>
      <c r="G4" s="19"/>
      <c r="H4" s="19"/>
    </row>
    <row r="5" spans="1:8">
      <c r="A5" s="20" t="s">
        <v>138</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2" spans="1:8">
      <c r="A12" s="18" t="s">
        <v>139</v>
      </c>
      <c r="B12" s="18"/>
      <c r="C12" s="18"/>
      <c r="D12" s="18"/>
      <c r="E12" s="18"/>
      <c r="F12" s="18"/>
      <c r="G12" s="18"/>
      <c r="H12" s="18"/>
    </row>
    <row r="13" spans="1:8">
      <c r="A13" s="6" t="s">
        <v>63</v>
      </c>
      <c r="B13" s="6" t="s">
        <v>140</v>
      </c>
      <c r="C13" s="6" t="s">
        <v>64</v>
      </c>
      <c r="D13" s="6" t="s">
        <v>65</v>
      </c>
      <c r="E13" s="6" t="s">
        <v>66</v>
      </c>
      <c r="F13" s="6" t="s">
        <v>67</v>
      </c>
    </row>
    <row r="14" spans="1:8">
      <c r="A14" s="7" t="s">
        <v>141</v>
      </c>
      <c r="B14" s="7" t="s">
        <v>142</v>
      </c>
      <c r="C14" s="3"/>
      <c r="D14" s="10"/>
      <c r="E14" s="8"/>
      <c r="F14" s="7" t="str">
        <f>IF(D14="","Pendiente",IF(ABS(D14-E14)&lt;0.01,"Correcto","Revisar"))</f>
        <v>Pendiente</v>
      </c>
    </row>
    <row r="15" spans="1:8">
      <c r="A15" s="7" t="s">
        <v>82</v>
      </c>
      <c r="B15" s="7" t="s">
        <v>38</v>
      </c>
      <c r="C15" s="3"/>
      <c r="D15" s="13"/>
      <c r="E15" s="12"/>
      <c r="F15" s="7" t="str">
        <f>IF(D15="","Pendiente",IF(ABS(D15-E15)&lt;0.01,"Correcto","Revisar"))</f>
        <v>Pendiente</v>
      </c>
    </row>
    <row r="16" spans="1:8">
      <c r="A16" s="7" t="s">
        <v>143</v>
      </c>
      <c r="B16" s="7" t="s">
        <v>144</v>
      </c>
      <c r="C16" s="3"/>
      <c r="D16" s="10"/>
      <c r="E16" s="8"/>
      <c r="F16" s="7" t="str">
        <f>IF(D16="","Pendiente",IF(ABS(D16-E16)&lt;0.01,"Correcto","Revisar"))</f>
        <v>Pendiente</v>
      </c>
    </row>
    <row r="17" spans="1:8">
      <c r="A17" s="7" t="s">
        <v>145</v>
      </c>
      <c r="B17" s="7" t="s">
        <v>146</v>
      </c>
      <c r="C17" s="3"/>
      <c r="D17" s="10"/>
      <c r="E17" s="8"/>
      <c r="F17" s="7" t="str">
        <f>IF(D17="","Pendiente",IF(ABS(D17-E17)&lt;0.01,"Correcto","Revisar"))</f>
        <v>Pendiente</v>
      </c>
    </row>
    <row r="20" spans="1:8">
      <c r="A20" s="18" t="s">
        <v>147</v>
      </c>
      <c r="B20" s="18"/>
      <c r="C20" s="18"/>
      <c r="D20" s="18"/>
      <c r="E20" s="18"/>
      <c r="F20" s="18"/>
      <c r="G20" s="18"/>
      <c r="H20" s="18"/>
    </row>
    <row r="21" spans="1:8">
      <c r="A21" s="6" t="s">
        <v>130</v>
      </c>
      <c r="B21" s="6" t="s">
        <v>112</v>
      </c>
      <c r="C21" s="6" t="s">
        <v>113</v>
      </c>
    </row>
    <row r="22" spans="1:8">
      <c r="A22" s="7" t="s">
        <v>148</v>
      </c>
      <c r="B22" s="14"/>
      <c r="C22" s="7" t="s">
        <v>149</v>
      </c>
    </row>
    <row r="23" spans="1:8">
      <c r="A23" s="7" t="s">
        <v>150</v>
      </c>
      <c r="B23" s="14"/>
      <c r="C23" s="7" t="s">
        <v>151</v>
      </c>
    </row>
  </sheetData>
  <mergeCells count="5">
    <mergeCell ref="A1:H2"/>
    <mergeCell ref="A4:H4"/>
    <mergeCell ref="A5:H10"/>
    <mergeCell ref="A12:H12"/>
    <mergeCell ref="A20:H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7"/>
  <sheetViews>
    <sheetView tabSelected="1" workbookViewId="0">
      <selection activeCell="B19" sqref="B19"/>
    </sheetView>
  </sheetViews>
  <sheetFormatPr baseColWidth="10" defaultColWidth="8.6640625" defaultRowHeight="14"/>
  <cols>
    <col min="1" max="1" width="62" customWidth="1"/>
    <col min="2" max="2" width="78" customWidth="1"/>
    <col min="3" max="3" width="52" customWidth="1"/>
    <col min="4" max="6" width="18" customWidth="1"/>
    <col min="7" max="8" width="14" customWidth="1"/>
  </cols>
  <sheetData>
    <row r="1" spans="1:8">
      <c r="A1" s="15" t="s">
        <v>154</v>
      </c>
      <c r="B1" s="15"/>
      <c r="C1" s="15"/>
      <c r="D1" s="15"/>
      <c r="E1" s="15"/>
      <c r="F1" s="15"/>
      <c r="G1" s="15"/>
      <c r="H1" s="15"/>
    </row>
    <row r="2" spans="1:8">
      <c r="A2" s="15"/>
      <c r="B2" s="15"/>
      <c r="C2" s="15"/>
      <c r="D2" s="15"/>
      <c r="E2" s="15"/>
      <c r="F2" s="15"/>
      <c r="G2" s="15"/>
      <c r="H2" s="15"/>
    </row>
    <row r="4" spans="1:8">
      <c r="A4" s="19" t="s">
        <v>155</v>
      </c>
      <c r="B4" s="19"/>
      <c r="C4" s="19"/>
      <c r="D4" s="19"/>
      <c r="E4" s="19"/>
      <c r="F4" s="19"/>
      <c r="G4" s="19"/>
      <c r="H4" s="19"/>
    </row>
    <row r="5" spans="1:8">
      <c r="A5" s="20" t="s">
        <v>156</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8" spans="1:8">
      <c r="A8" s="20"/>
      <c r="B8" s="20"/>
      <c r="C8" s="20"/>
      <c r="D8" s="20"/>
      <c r="E8" s="20"/>
      <c r="F8" s="20"/>
      <c r="G8" s="20"/>
      <c r="H8" s="20"/>
    </row>
    <row r="9" spans="1:8">
      <c r="A9" s="20"/>
      <c r="B9" s="20"/>
      <c r="C9" s="20"/>
      <c r="D9" s="20"/>
      <c r="E9" s="20"/>
      <c r="F9" s="20"/>
      <c r="G9" s="20"/>
      <c r="H9" s="20"/>
    </row>
    <row r="10" spans="1:8">
      <c r="A10" s="20"/>
      <c r="B10" s="20"/>
      <c r="C10" s="20"/>
      <c r="D10" s="20"/>
      <c r="E10" s="20"/>
      <c r="F10" s="20"/>
      <c r="G10" s="20"/>
      <c r="H10" s="20"/>
    </row>
    <row r="12" spans="1:8">
      <c r="A12" s="18" t="s">
        <v>157</v>
      </c>
      <c r="B12" s="18"/>
      <c r="C12" s="18"/>
      <c r="D12" s="18"/>
      <c r="E12" s="18"/>
      <c r="F12" s="18"/>
      <c r="G12" s="18"/>
      <c r="H12" s="18"/>
    </row>
    <row r="13" spans="1:8">
      <c r="A13" s="6" t="s">
        <v>153</v>
      </c>
      <c r="B13" s="6" t="s">
        <v>66</v>
      </c>
      <c r="C13" s="6" t="s">
        <v>158</v>
      </c>
    </row>
    <row r="14" spans="1:8">
      <c r="A14" s="7" t="s">
        <v>84</v>
      </c>
      <c r="B14" s="8"/>
      <c r="C14" s="5" t="s">
        <v>159</v>
      </c>
    </row>
    <row r="15" spans="1:8">
      <c r="A15" s="7" t="s">
        <v>152</v>
      </c>
      <c r="B15" s="8"/>
      <c r="C15" s="5" t="s">
        <v>160</v>
      </c>
    </row>
    <row r="16" spans="1:8">
      <c r="A16" s="7" t="s">
        <v>100</v>
      </c>
      <c r="B16" s="9"/>
      <c r="C16" s="5" t="s">
        <v>91</v>
      </c>
    </row>
    <row r="17" spans="1:8">
      <c r="A17" s="7" t="s">
        <v>85</v>
      </c>
      <c r="B17" s="9"/>
      <c r="C17" s="5" t="s">
        <v>161</v>
      </c>
    </row>
    <row r="18" spans="1:8">
      <c r="A18" s="7" t="s">
        <v>162</v>
      </c>
      <c r="B18" s="8"/>
      <c r="C18" s="5" t="s">
        <v>163</v>
      </c>
    </row>
    <row r="21" spans="1:8">
      <c r="A21" s="18" t="s">
        <v>164</v>
      </c>
      <c r="B21" s="18"/>
      <c r="C21" s="18"/>
      <c r="D21" s="18"/>
      <c r="E21" s="18"/>
      <c r="F21" s="18"/>
      <c r="G21" s="18"/>
      <c r="H21" s="18"/>
    </row>
    <row r="22" spans="1:8">
      <c r="A22" s="6" t="s">
        <v>130</v>
      </c>
      <c r="B22" s="6" t="s">
        <v>112</v>
      </c>
    </row>
    <row r="23" spans="1:8">
      <c r="A23" s="7" t="s">
        <v>165</v>
      </c>
      <c r="B23" s="14"/>
    </row>
    <row r="24" spans="1:8">
      <c r="A24" s="7" t="s">
        <v>166</v>
      </c>
      <c r="B24" s="14"/>
    </row>
    <row r="25" spans="1:8">
      <c r="A25" s="7" t="s">
        <v>167</v>
      </c>
      <c r="B25" s="14"/>
    </row>
    <row r="26" spans="1:8">
      <c r="A26" s="7" t="s">
        <v>168</v>
      </c>
      <c r="B26" s="14"/>
    </row>
    <row r="27" spans="1:8">
      <c r="A27" s="7" t="s">
        <v>169</v>
      </c>
      <c r="B27" s="14"/>
    </row>
    <row r="28" spans="1:8">
      <c r="A28" s="7" t="s">
        <v>170</v>
      </c>
      <c r="B28" s="14"/>
    </row>
    <row r="31" spans="1:8">
      <c r="A31" s="18" t="s">
        <v>171</v>
      </c>
      <c r="B31" s="18"/>
      <c r="C31" s="18"/>
      <c r="D31" s="18"/>
      <c r="E31" s="18"/>
      <c r="F31" s="18"/>
      <c r="G31" s="18"/>
      <c r="H31" s="18"/>
    </row>
    <row r="32" spans="1:8">
      <c r="A32" s="6" t="s">
        <v>172</v>
      </c>
      <c r="B32" s="6" t="s">
        <v>102</v>
      </c>
      <c r="C32" s="6" t="s">
        <v>173</v>
      </c>
      <c r="D32" s="6" t="s">
        <v>174</v>
      </c>
    </row>
    <row r="33" spans="1:4">
      <c r="A33" s="7" t="s">
        <v>175</v>
      </c>
      <c r="B33" s="7"/>
      <c r="C33" s="7"/>
      <c r="D33" s="7"/>
    </row>
    <row r="34" spans="1:4">
      <c r="A34" s="7" t="s">
        <v>176</v>
      </c>
      <c r="B34" s="7"/>
      <c r="C34" s="7"/>
      <c r="D34" s="7"/>
    </row>
    <row r="35" spans="1:4">
      <c r="A35" s="7" t="s">
        <v>177</v>
      </c>
      <c r="B35" s="7"/>
      <c r="C35" s="7"/>
      <c r="D35" s="7"/>
    </row>
    <row r="36" spans="1:4">
      <c r="A36" s="7" t="s">
        <v>178</v>
      </c>
      <c r="B36" s="7"/>
      <c r="C36" s="7"/>
      <c r="D36" s="7"/>
    </row>
    <row r="37" spans="1:4">
      <c r="A37" s="7" t="s">
        <v>179</v>
      </c>
      <c r="B37" s="7"/>
      <c r="C37" s="7"/>
      <c r="D37" s="7"/>
    </row>
  </sheetData>
  <mergeCells count="6">
    <mergeCell ref="A31:H31"/>
    <mergeCell ref="A1:H2"/>
    <mergeCell ref="A4:H4"/>
    <mergeCell ref="A5:H10"/>
    <mergeCell ref="A12:H12"/>
    <mergeCell ref="A21: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 Portada</vt:lpstr>
      <vt:lpstr>2. Caso empresarial</vt:lpstr>
      <vt:lpstr>3. Documento 1 - Dividendos</vt:lpstr>
      <vt:lpstr>4. Documento 2 - Política</vt:lpstr>
      <vt:lpstr>5. Documento 3 - Ke</vt:lpstr>
      <vt:lpstr>6. Paso 1 - Modelo Gordon</vt:lpstr>
      <vt:lpstr>7. Paso 2 - Comparación</vt:lpstr>
      <vt:lpstr>8. Valor del patrimonio</vt:lpstr>
      <vt:lpstr>10. Interpretación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Oyaque Mora Silvia Melinda</cp:lastModifiedBy>
  <dcterms:created xsi:type="dcterms:W3CDTF">2026-07-20T18:38:49Z</dcterms:created>
  <dcterms:modified xsi:type="dcterms:W3CDTF">2026-07-20T18:38:49Z</dcterms:modified>
</cp:coreProperties>
</file>