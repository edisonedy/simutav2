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esktop\JULIO A DICIEMBRE 2026\VALORACIÓN DE EMPRESAS\"/>
    </mc:Choice>
  </mc:AlternateContent>
  <xr:revisionPtr revIDLastSave="0" documentId="8_{8BAE8E61-CBF5-4621-A9EC-D06FE00B0C54}" xr6:coauthVersionLast="47" xr6:coauthVersionMax="47" xr10:uidLastSave="{00000000-0000-0000-0000-000000000000}"/>
  <bookViews>
    <workbookView xWindow="-110" yWindow="-110" windowWidth="19420" windowHeight="11500" firstSheet="7" activeTab="9" xr2:uid="{00000000-000D-0000-FFFF-FFFF00000000}"/>
  </bookViews>
  <sheets>
    <sheet name="1. Portada" sheetId="1" r:id="rId1"/>
    <sheet name="2. Caso empresarial" sheetId="2" r:id="rId2"/>
    <sheet name="3. Documento 1 - FCFF" sheetId="3" r:id="rId3"/>
    <sheet name="4. Documento 2 - Balance" sheetId="4" r:id="rId4"/>
    <sheet name="5. Documento 3 - WACC" sheetId="5" r:id="rId5"/>
    <sheet name="6. Paso 1 - Capital Invertido" sheetId="6" r:id="rId6"/>
    <sheet name="7. Paso 2 - Cargo por Capital" sheetId="7" r:id="rId7"/>
    <sheet name="8. Paso 3 - Flujo Residual" sheetId="8" r:id="rId8"/>
    <sheet name="9. Análisis de escenarios" sheetId="9" r:id="rId9"/>
    <sheet name="10. Interpretación final" sheetId="10" r:id="rId10"/>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7" i="9" l="1"/>
  <c r="C28" i="9" s="1"/>
  <c r="C29" i="9" s="1"/>
  <c r="E16" i="9"/>
  <c r="E15" i="9"/>
  <c r="E14" i="9"/>
  <c r="E13" i="9"/>
  <c r="F16" i="8"/>
  <c r="F15" i="8"/>
  <c r="F14" i="8"/>
  <c r="F15" i="7"/>
  <c r="F14" i="7"/>
  <c r="F13" i="7"/>
  <c r="F15" i="6"/>
  <c r="F14" i="6"/>
  <c r="F13" i="6"/>
  <c r="E23" i="5"/>
  <c r="E22" i="5"/>
  <c r="E21" i="5"/>
  <c r="F30" i="4"/>
  <c r="F29" i="4"/>
  <c r="F28" i="4"/>
  <c r="B23" i="4"/>
  <c r="B16" i="4"/>
  <c r="E22" i="3"/>
  <c r="E21" i="3"/>
</calcChain>
</file>

<file path=xl/sharedStrings.xml><?xml version="1.0" encoding="utf-8"?>
<sst xmlns="http://schemas.openxmlformats.org/spreadsheetml/2006/main" count="283" uniqueCount="210">
  <si>
    <t>UNIDAD 4 · FLUJO DE CAJA RESIDUAL</t>
  </si>
  <si>
    <t>CASO INTEGRADOR: INDUSTRIA TUNGURAHUA S.A.</t>
  </si>
  <si>
    <t>Workbook profesional para que el estudiante determine si la empresa crea o destruye valor económico a partir del FCFF, el capital invertido, el WACC y el cargo por costo del capital.</t>
  </si>
  <si>
    <t>DATOS DEL ESTUDIANTE</t>
  </si>
  <si>
    <t>Nombres y apellidos</t>
  </si>
  <si>
    <t>Curso</t>
  </si>
  <si>
    <t>Paralelo</t>
  </si>
  <si>
    <t>Docente</t>
  </si>
  <si>
    <t>Fecha</t>
  </si>
  <si>
    <t>RUTA DE APRENDIZAJE</t>
  </si>
  <si>
    <t>Paso 1</t>
  </si>
  <si>
    <t>Obtener el FCFF del ejercicio anterior</t>
  </si>
  <si>
    <t>Paso 2</t>
  </si>
  <si>
    <t>Identificar patrimonio y deuda financiera LP</t>
  </si>
  <si>
    <t>Paso 3</t>
  </si>
  <si>
    <t>Calcular el capital invertido</t>
  </si>
  <si>
    <t>Paso 4</t>
  </si>
  <si>
    <t>Identificar el WACC</t>
  </si>
  <si>
    <t>Paso 5</t>
  </si>
  <si>
    <t>Calcular el cargo por costo del capital</t>
  </si>
  <si>
    <t>Paso 6</t>
  </si>
  <si>
    <t>Calcular el Flujo de Caja Residual</t>
  </si>
  <si>
    <t>Paso 7</t>
  </si>
  <si>
    <t>Analizar escenarios</t>
  </si>
  <si>
    <t>Paso 8</t>
  </si>
  <si>
    <t>Interpretar creación o destrucción de valor</t>
  </si>
  <si>
    <t>CASO EMPRESARIAL Y OBJETIVO DEL ANÁLISIS</t>
  </si>
  <si>
    <t>CONTEXTO DEL CASO</t>
  </si>
  <si>
    <t>Industria Tungurahua S.A. ya calculó su Flujo de Caja Libre de la Empresa (FCFF). La Gerencia desea determinar si dicho flujo es suficiente para remunerar el costo del capital aportado por acreedores y accionistas. Como analista financiero, deberá identificar el capital invertido, utilizar el WACC informado, calcular el cargo por capital y determinar el Flujo de Caja Residual.</t>
  </si>
  <si>
    <t>OBJETIVO DE APRENDIZAJE</t>
  </si>
  <si>
    <t>Determinar si la empresa crea o destruye valor económico mediante el cálculo e interpretación del Flujo de Caja Residual.</t>
  </si>
  <si>
    <t>DOCUMENTOS DISPONIBLES</t>
  </si>
  <si>
    <t>Documento</t>
  </si>
  <si>
    <t>Contenido</t>
  </si>
  <si>
    <t>Uso en el ejercicio</t>
  </si>
  <si>
    <t>Documento 1</t>
  </si>
  <si>
    <t>Resultado del FCFF</t>
  </si>
  <si>
    <t>Punto de partida del cálculo.</t>
  </si>
  <si>
    <t>Documento 2</t>
  </si>
  <si>
    <t>Extracto del Balance General</t>
  </si>
  <si>
    <t>Identificar patrimonio y deuda financiera LP.</t>
  </si>
  <si>
    <t>Documento 3</t>
  </si>
  <si>
    <t>Informe Financiero</t>
  </si>
  <si>
    <t>Obtener el WACC técnico.</t>
  </si>
  <si>
    <t>Documento 4</t>
  </si>
  <si>
    <t>Hoja de trabajo</t>
  </si>
  <si>
    <t>Calcular cargo por capital y Flujo Residual.</t>
  </si>
  <si>
    <t>INSTRUCCIONES</t>
  </si>
  <si>
    <t>1. Lea cada documento antes de calcular.
2. Revise la fórmula en texto antes de ingresar datos.
3. Complete únicamente las celdas amarillas.
4. Escriba la operación utilizada, no solo el resultado.
5. Revise la retroalimentación automática.
6. Finalice con una interpretación financiera.</t>
  </si>
  <si>
    <t>DOCUMENTO 1 · RESULTADO DEL FCFF</t>
  </si>
  <si>
    <t>📘 RECORDATORIO</t>
  </si>
  <si>
    <t>El Flujo de Caja Libre de la Empresa representa el efectivo disponible para acreedores y accionistas después de cubrir impuestos operativos, CAPEX y variación del capital de trabajo.</t>
  </si>
  <si>
    <t>MEMORANDO DE LA DIRECCIÓN FINANCIERA</t>
  </si>
  <si>
    <t>Campo</t>
  </si>
  <si>
    <t>Información</t>
  </si>
  <si>
    <t>Observación</t>
  </si>
  <si>
    <t>Empresa</t>
  </si>
  <si>
    <t>Industria Tungurahua S.A.</t>
  </si>
  <si>
    <t>Período</t>
  </si>
  <si>
    <t>2025</t>
  </si>
  <si>
    <t>Documento de origen</t>
  </si>
  <si>
    <t>Workbook FCFF Unidad 4</t>
  </si>
  <si>
    <t>Resultado del ejercicio anterior.</t>
  </si>
  <si>
    <t>FCFF (USD)</t>
  </si>
  <si>
    <t>Dato no editable.</t>
  </si>
  <si>
    <t>Interpretación preliminar</t>
  </si>
  <si>
    <t>Flujo positivo</t>
  </si>
  <si>
    <t>Aún debe compararse con el costo del capital.</t>
  </si>
  <si>
    <t>ACTIVIDAD DEL ESTUDIANTE</t>
  </si>
  <si>
    <t>Pregunta</t>
  </si>
  <si>
    <t>Operación / explicación</t>
  </si>
  <si>
    <t>Respuesta</t>
  </si>
  <si>
    <t>Resultado técnico</t>
  </si>
  <si>
    <t>Estado</t>
  </si>
  <si>
    <t>Registre el FCFF</t>
  </si>
  <si>
    <t>¿Este dato por sí solo demuestra creación de valor?</t>
  </si>
  <si>
    <t>No</t>
  </si>
  <si>
    <t>DOCUMENTO 2 · EXTRACTO DEL BALANCE GENERAL</t>
  </si>
  <si>
    <t>Para este ejercicio, el capital invertido se determina sumando el patrimonio y la deuda financiera de largo plazo.
FÓRMULA EN TEXTO:
Capital Invertido = Patrimonio + Deuda Financiera LP</t>
  </si>
  <si>
    <t>PATRIMONIO</t>
  </si>
  <si>
    <t>Cuenta</t>
  </si>
  <si>
    <t>Valor (USD)</t>
  </si>
  <si>
    <t>¿Se incluye?</t>
  </si>
  <si>
    <t>Justificación</t>
  </si>
  <si>
    <t>Capital social</t>
  </si>
  <si>
    <t>Sí</t>
  </si>
  <si>
    <t>Aporte permanente de los accionistas.</t>
  </si>
  <si>
    <t>Reserva legal</t>
  </si>
  <si>
    <t>Forma parte del patrimonio.</t>
  </si>
  <si>
    <t>Utilidades retenidas</t>
  </si>
  <si>
    <t>Reinversión acumulada.</t>
  </si>
  <si>
    <t>Total Patrimonio</t>
  </si>
  <si>
    <t>DEUDA FINANCIERA DE LARGO PLAZO</t>
  </si>
  <si>
    <t>Préstamos bancarios LP</t>
  </si>
  <si>
    <t>Deuda financiera de largo plazo.</t>
  </si>
  <si>
    <t>Obligaciones financieras LP</t>
  </si>
  <si>
    <t>Financiamiento permanente.</t>
  </si>
  <si>
    <t>Total Deuda Financiera LP</t>
  </si>
  <si>
    <t>Paso</t>
  </si>
  <si>
    <t>Concepto</t>
  </si>
  <si>
    <t>Operación</t>
  </si>
  <si>
    <t>Capital Invertido</t>
  </si>
  <si>
    <t>DOCUMENTO 3 · INFORME FINANCIERO SOBRE EL WACC</t>
  </si>
  <si>
    <t>El WACC representa la rentabilidad mínima exigida por acreedores y accionistas. En este ejercicio se proporciona como dato técnico emitido por la Dirección Financiera, porque el objetivo es aplicarlo al Flujo de Caja Residual.</t>
  </si>
  <si>
    <t>INFORME DE LA DIRECCIÓN FINANCIERA</t>
  </si>
  <si>
    <t>Dato</t>
  </si>
  <si>
    <t>Explicación</t>
  </si>
  <si>
    <t>WACC anual</t>
  </si>
  <si>
    <t>Costo promedio ponderado del capital.</t>
  </si>
  <si>
    <t>Fuente</t>
  </si>
  <si>
    <t>Dirección Financiera</t>
  </si>
  <si>
    <t>Estimación técnica del período 2025.</t>
  </si>
  <si>
    <t>Uso</t>
  </si>
  <si>
    <t>Cargo por costo del capital</t>
  </si>
  <si>
    <t>Capital Invertido × WACC.</t>
  </si>
  <si>
    <t>Interpretación</t>
  </si>
  <si>
    <t>Rentabilidad mínima exigida</t>
  </si>
  <si>
    <t>La empresa debe superar esta tasa para crear valor.</t>
  </si>
  <si>
    <t>Explicación del estudiante</t>
  </si>
  <si>
    <t>Registre el WACC</t>
  </si>
  <si>
    <t>¿Qué representa?</t>
  </si>
  <si>
    <t>¿Un WACC más alto aumenta o reduce el cargo por capital?</t>
  </si>
  <si>
    <t>PASO 1 · CALCULAR EL CAPITAL INVERTIDO</t>
  </si>
  <si>
    <t>📐 FÓRMULA EN TEXTO</t>
  </si>
  <si>
    <t>Capital Invertido = Patrimonio + Deuda Financiera LP
Consejo: no incluya proveedores, impuestos por pagar u otras obligaciones operativas de corto plazo.</t>
  </si>
  <si>
    <t>HOJA DE TRABAJO</t>
  </si>
  <si>
    <t>Origen</t>
  </si>
  <si>
    <t>Patrimonio</t>
  </si>
  <si>
    <t>Deuda Financiera LP</t>
  </si>
  <si>
    <t>Patrimonio + Deuda LP</t>
  </si>
  <si>
    <t>ANÁLISIS</t>
  </si>
  <si>
    <t>Respuesta del estudiante</t>
  </si>
  <si>
    <t>Orientación</t>
  </si>
  <si>
    <t>¿Por qué se suman deuda y patrimonio?</t>
  </si>
  <si>
    <t>Ambas fuentes financian los activos de la empresa.</t>
  </si>
  <si>
    <t>¿Por qué no se incluyen proveedores?</t>
  </si>
  <si>
    <t>Son financiación operativa, no deuda financiera permanente.</t>
  </si>
  <si>
    <t>¿Qué representa el capital invertido?</t>
  </si>
  <si>
    <t>Recursos permanentes comprometidos en el negocio.</t>
  </si>
  <si>
    <t>PASO 2 · CALCULAR EL CARGO POR COSTO DEL CAPITAL</t>
  </si>
  <si>
    <t>Cargo por Capital = Capital Invertido × WACC
Este cargo expresa en dólares la rentabilidad mínima exigida por quienes financian la empresa.</t>
  </si>
  <si>
    <t>WACC</t>
  </si>
  <si>
    <t>Cargo por Capital</t>
  </si>
  <si>
    <t>Capital Invertido × WACC</t>
  </si>
  <si>
    <t>INTERPRETACIÓN DEL CARGO</t>
  </si>
  <si>
    <t>¿Qué significa el cargo por capital?</t>
  </si>
  <si>
    <t>Rendimiento mínimo anual exigido.</t>
  </si>
  <si>
    <t>¿Qué ocurre si aumenta el WACC?</t>
  </si>
  <si>
    <t>El cargo por capital aumenta.</t>
  </si>
  <si>
    <t>¿Qué ocurre si aumenta el capital invertido?</t>
  </si>
  <si>
    <t>PASO 3 · CALCULAR EL FLUJO DE CAJA RESIDUAL</t>
  </si>
  <si>
    <t>Flujo de Caja Residual = FCFF − Cargo por Capital
Interpretación:
• Positivo: crea valor.
• Cero: remunera exactamente el capital.
• Negativo: destruye valor.</t>
  </si>
  <si>
    <t>ROMPECABEZAS FINANCIERO</t>
  </si>
  <si>
    <t>Orden</t>
  </si>
  <si>
    <t>Componente</t>
  </si>
  <si>
    <t>Signo</t>
  </si>
  <si>
    <t>FCFF</t>
  </si>
  <si>
    <t>+</t>
  </si>
  <si>
    <t>−</t>
  </si>
  <si>
    <t>Flujo de Caja Residual</t>
  </si>
  <si>
    <t>=</t>
  </si>
  <si>
    <t>OPERACIÓN COMPLETA</t>
  </si>
  <si>
    <t>Elemento</t>
  </si>
  <si>
    <t>Resultado</t>
  </si>
  <si>
    <t>Conclusión preliminar</t>
  </si>
  <si>
    <t>Resultado positivo: creación de valor.</t>
  </si>
  <si>
    <t>ANÁLISIS DE ESCENARIOS DEL FLUJO RESIDUAL</t>
  </si>
  <si>
    <t>El Flujo Residual depende directamente del FCFF, del capital invertido y del WACC. Cambios en estas variables pueden convertir una situación de creación de valor en destrucción de valor.</t>
  </si>
  <si>
    <t>ESCENARIOS PREDEFINIDOS</t>
  </si>
  <si>
    <t>Escenario</t>
  </si>
  <si>
    <t>Capital Invertido (USD)</t>
  </si>
  <si>
    <t>Flujo Residual</t>
  </si>
  <si>
    <t>Base</t>
  </si>
  <si>
    <t>WACC mayor</t>
  </si>
  <si>
    <t>FCFF menor</t>
  </si>
  <si>
    <t>Capital mayor</t>
  </si>
  <si>
    <t>ESCENARIO DEL ESTUDIANTE</t>
  </si>
  <si>
    <t>Variable</t>
  </si>
  <si>
    <t>Caso base</t>
  </si>
  <si>
    <t>Escenario del estudiante</t>
  </si>
  <si>
    <t>Unidad</t>
  </si>
  <si>
    <t>Resultado calculado</t>
  </si>
  <si>
    <t>USD</t>
  </si>
  <si>
    <t>%</t>
  </si>
  <si>
    <t>Indicador</t>
  </si>
  <si>
    <t>Fórmula</t>
  </si>
  <si>
    <t>FCFF − Cargo por Capital</t>
  </si>
  <si>
    <t>Positivo / Cero / Negativo</t>
  </si>
  <si>
    <t>INTERPRETACIÓN Y AUTOEVALUACIÓN</t>
  </si>
  <si>
    <t>Un Flujo de Caja Residual positivo indica que el FCFF supera el rendimiento mínimo exigido sobre el capital invertido. Esto representa creación de valor económico durante el período analizado.</t>
  </si>
  <si>
    <t>RESULTADOS DEL CASO</t>
  </si>
  <si>
    <t>Lectura financiera</t>
  </si>
  <si>
    <t>Efectivo generado por la operación.</t>
  </si>
  <si>
    <t>Recursos permanentes comprometidos.</t>
  </si>
  <si>
    <t>Rentabilidad mínima exigida.</t>
  </si>
  <si>
    <t>Excedente después de remunerar el capital.</t>
  </si>
  <si>
    <t>PREGUNTAS DE ANÁLISIS</t>
  </si>
  <si>
    <t>¿La empresa crea o destruye valor?</t>
  </si>
  <si>
    <t>Explique por qué el resultado es positivo.</t>
  </si>
  <si>
    <t>¿Qué ocurriría si el WACC aumentara al 12 %?</t>
  </si>
  <si>
    <t>¿Qué ocurriría si el FCFF disminuyera a USD 450.000?</t>
  </si>
  <si>
    <t>¿Por qué el FCFF positivo no garantiza por sí solo creación de valor?</t>
  </si>
  <si>
    <t>Conclusión para un inversionista</t>
  </si>
  <si>
    <t>AUTOEVALUACIÓN</t>
  </si>
  <si>
    <t>Criterio</t>
  </si>
  <si>
    <t>En proceso</t>
  </si>
  <si>
    <t>Identifiqué correctamente el capital invertido</t>
  </si>
  <si>
    <t>Comprendí el cargo por costo del capital</t>
  </si>
  <si>
    <t>Calculé correctamente el Flujo Residual</t>
  </si>
  <si>
    <t>Puedo interpretar creación o destrucción de 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</si>
</sst>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8">
    <font>
      <sz val="11"/>
      <name val="Carlito"/>
    </font>
    <font>
      <b/>
      <sz val="16"/>
      <color rgb="FFFFFFFF"/>
      <name val="Carlito"/>
    </font>
    <font>
      <b/>
      <sz val="18"/>
      <color rgb="FF173B5F"/>
      <name val="Carlito"/>
    </font>
    <font>
      <b/>
      <sz val="11"/>
      <color rgb="FFFFFFFF"/>
      <name val="Carlito"/>
    </font>
    <font>
      <b/>
      <sz val="11"/>
      <color rgb="FF173B5F"/>
      <name val="Carlito"/>
    </font>
    <font>
      <sz val="11"/>
      <color rgb="FF0000FF"/>
      <name val="Carlito"/>
    </font>
    <font>
      <sz val="11"/>
      <color rgb="FF173B5F"/>
      <name val="Carlito"/>
    </font>
    <font>
      <b/>
      <sz val="11"/>
      <color rgb="FF000000"/>
      <name val="Carlito"/>
    </font>
  </fonts>
  <fills count="9">
    <fill>
      <patternFill patternType="none"/>
    </fill>
    <fill>
      <patternFill patternType="gray125"/>
    </fill>
    <fill>
      <patternFill patternType="solid">
        <fgColor rgb="FF173B5F"/>
      </patternFill>
    </fill>
    <fill>
      <patternFill patternType="solid">
        <fgColor rgb="FFD9EAF7"/>
      </patternFill>
    </fill>
    <fill>
      <patternFill patternType="solid">
        <fgColor rgb="FFEEF5FA"/>
      </patternFill>
    </fill>
    <fill>
      <patternFill patternType="solid">
        <fgColor rgb="FFFFF2CC"/>
      </patternFill>
    </fill>
    <fill>
      <patternFill patternType="solid">
        <fgColor rgb="FFEEE7FF"/>
      </patternFill>
    </fill>
    <fill>
      <patternFill patternType="solid">
        <fgColor rgb="FF2F6F9F"/>
      </patternFill>
    </fill>
    <fill>
      <patternFill patternType="solid">
        <fgColor rgb="FFE2F0D9"/>
      </patternFill>
    </fill>
  </fills>
  <borders count="1">
    <border>
      <left/>
      <right/>
      <top/>
      <bottom/>
      <diagonal/>
    </border>
  </borders>
  <cellStyleXfs count="1">
    <xf numFmtId="0" fontId="0" fillId="0" borderId="0"/>
  </cellStyleXfs>
  <cellXfs count="24">
    <xf numFmtId="0" fontId="0" fillId="0" borderId="0" xfId="0"/>
    <xf numFmtId="0" fontId="3" fillId="2" borderId="0" xfId="0" applyNumberFormat="1" applyFont="1" applyFill="1" applyBorder="1"/>
    <xf numFmtId="0" fontId="4" fillId="3" borderId="0" xfId="0" applyNumberFormat="1" applyFont="1" applyFill="1" applyBorder="1"/>
    <xf numFmtId="0" fontId="5" fillId="5" borderId="0" xfId="0" applyNumberFormat="1" applyFont="1" applyFill="1" applyBorder="1"/>
    <xf numFmtId="0" fontId="4" fillId="6" borderId="0" xfId="0" applyNumberFormat="1" applyFont="1" applyFill="1" applyBorder="1"/>
    <xf numFmtId="0" fontId="0" fillId="0" borderId="0" xfId="0" applyNumberFormat="1" applyFont="1" applyFill="1" applyBorder="1" applyAlignment="1">
      <alignment wrapText="1"/>
    </xf>
    <xf numFmtId="0" fontId="3" fillId="7" borderId="0" xfId="0" applyNumberFormat="1" applyFont="1" applyFill="1" applyBorder="1" applyAlignment="1">
      <alignment horizontal="center" vertical="center" wrapText="1"/>
    </xf>
    <xf numFmtId="0" fontId="0" fillId="0" borderId="0" xfId="0" applyNumberFormat="1" applyFont="1" applyFill="1" applyBorder="1"/>
    <xf numFmtId="164" fontId="0" fillId="0" borderId="0" xfId="0" applyNumberFormat="1" applyFont="1" applyFill="1" applyBorder="1"/>
    <xf numFmtId="164" fontId="5" fillId="5" borderId="0" xfId="0" applyNumberFormat="1" applyFont="1" applyFill="1" applyBorder="1"/>
    <xf numFmtId="164" fontId="7" fillId="0" borderId="0" xfId="0" applyNumberFormat="1" applyFont="1" applyFill="1" applyBorder="1"/>
    <xf numFmtId="10" fontId="0" fillId="0" borderId="0" xfId="0" applyNumberFormat="1" applyFont="1" applyFill="1" applyBorder="1"/>
    <xf numFmtId="10" fontId="5" fillId="5" borderId="0" xfId="0" applyNumberFormat="1" applyFont="1" applyFill="1" applyBorder="1"/>
    <xf numFmtId="0" fontId="5" fillId="5" borderId="0" xfId="0" applyNumberFormat="1" applyFont="1" applyFill="1" applyBorder="1" applyAlignment="1">
      <alignment wrapText="1"/>
    </xf>
    <xf numFmtId="0" fontId="4" fillId="8" borderId="0" xfId="0" applyNumberFormat="1" applyFont="1" applyFill="1" applyBorder="1"/>
    <xf numFmtId="164" fontId="4" fillId="8" borderId="0" xfId="0" applyNumberFormat="1" applyFont="1" applyFill="1" applyBorder="1"/>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horizontal="center" vertical="center"/>
    </xf>
    <xf numFmtId="0" fontId="0" fillId="4" borderId="0" xfId="0" applyNumberFormat="1" applyFont="1" applyFill="1" applyBorder="1" applyAlignment="1">
      <alignment horizontal="center" vertical="center" wrapText="1"/>
    </xf>
    <xf numFmtId="0" fontId="3" fillId="2" borderId="0" xfId="0" applyNumberFormat="1" applyFont="1" applyFill="1" applyBorder="1" applyAlignment="1">
      <alignment horizontal="left" vertical="center"/>
    </xf>
    <xf numFmtId="0" fontId="4" fillId="6" borderId="0" xfId="0" applyNumberFormat="1" applyFont="1" applyFill="1" applyBorder="1"/>
    <xf numFmtId="0" fontId="6" fillId="4" borderId="0" xfId="0" applyNumberFormat="1" applyFont="1" applyFill="1" applyBorder="1" applyAlignment="1">
      <alignment vertical="top" wrapText="1"/>
    </xf>
    <xf numFmtId="0" fontId="0" fillId="3" borderId="0" xfId="0" applyNumberFormat="1" applyFont="1" applyFill="1" applyBorder="1" applyAlignment="1">
      <alignment vertical="center" wrapText="1"/>
    </xf>
    <xf numFmtId="0" fontId="0" fillId="4" borderId="0" xfId="0" applyNumberFormat="1" applyFont="1" applyFill="1" applyBorder="1" applyAlignment="1">
      <alignment vertical="top" wrapText="1"/>
    </xf>
  </cellXfs>
  <cellStyles count="1">
    <cellStyle name="Normal" xfId="0" builtinId="0"/>
  </cellStyles>
  <dxfs count="2">
    <dxf>
      <font>
        <b/>
        <color rgb="FF9C0006"/>
      </font>
      <fill>
        <patternFill patternType="solid">
          <bgColor rgb="FFFCE4D6"/>
        </patternFill>
      </fill>
    </dxf>
    <dxf>
      <font>
        <b/>
        <color rgb="FF0061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workbookViewId="0">
      <selection sqref="A1:H2"/>
    </sheetView>
  </sheetViews>
  <sheetFormatPr baseColWidth="10" defaultColWidth="8.6640625" defaultRowHeight="14"/>
  <cols>
    <col min="1" max="1" width="28" customWidth="1"/>
    <col min="2" max="2" width="68" customWidth="1"/>
    <col min="3" max="8" width="14" customWidth="1"/>
  </cols>
  <sheetData>
    <row r="1" spans="1:8">
      <c r="A1" s="16" t="s">
        <v>0</v>
      </c>
      <c r="B1" s="16"/>
      <c r="C1" s="16"/>
      <c r="D1" s="16"/>
      <c r="E1" s="16"/>
      <c r="F1" s="16"/>
      <c r="G1" s="16"/>
      <c r="H1" s="16"/>
    </row>
    <row r="2" spans="1:8">
      <c r="A2" s="16"/>
      <c r="B2" s="16"/>
      <c r="C2" s="16"/>
      <c r="D2" s="16"/>
      <c r="E2" s="16"/>
      <c r="F2" s="16"/>
      <c r="G2" s="16"/>
      <c r="H2" s="16"/>
    </row>
    <row r="4" spans="1:8">
      <c r="A4" s="17" t="s">
        <v>1</v>
      </c>
      <c r="B4" s="17"/>
      <c r="C4" s="17"/>
      <c r="D4" s="17"/>
      <c r="E4" s="17"/>
      <c r="F4" s="17"/>
      <c r="G4" s="17"/>
      <c r="H4" s="17"/>
    </row>
    <row r="5" spans="1:8">
      <c r="A5" s="17"/>
      <c r="B5" s="17"/>
      <c r="C5" s="17"/>
      <c r="D5" s="17"/>
      <c r="E5" s="17"/>
      <c r="F5" s="17"/>
      <c r="G5" s="17"/>
      <c r="H5" s="17"/>
    </row>
    <row r="6" spans="1:8">
      <c r="A6" s="17"/>
      <c r="B6" s="17"/>
      <c r="C6" s="17"/>
      <c r="D6" s="17"/>
      <c r="E6" s="17"/>
      <c r="F6" s="17"/>
      <c r="G6" s="17"/>
      <c r="H6" s="17"/>
    </row>
    <row r="8" spans="1:8">
      <c r="A8" s="18" t="s">
        <v>2</v>
      </c>
      <c r="B8" s="18"/>
      <c r="C8" s="18"/>
      <c r="D8" s="18"/>
      <c r="E8" s="18"/>
      <c r="F8" s="18"/>
      <c r="G8" s="18"/>
      <c r="H8" s="18"/>
    </row>
    <row r="9" spans="1:8">
      <c r="A9" s="18"/>
      <c r="B9" s="18"/>
      <c r="C9" s="18"/>
      <c r="D9" s="18"/>
      <c r="E9" s="18"/>
      <c r="F9" s="18"/>
      <c r="G9" s="18"/>
      <c r="H9" s="18"/>
    </row>
    <row r="10" spans="1:8">
      <c r="A10" s="18"/>
      <c r="B10" s="18"/>
      <c r="C10" s="18"/>
      <c r="D10" s="18"/>
      <c r="E10" s="18"/>
      <c r="F10" s="18"/>
      <c r="G10" s="18"/>
      <c r="H10" s="18"/>
    </row>
    <row r="11" spans="1:8">
      <c r="A11" s="18"/>
      <c r="B11" s="18"/>
      <c r="C11" s="18"/>
      <c r="D11" s="18"/>
      <c r="E11" s="18"/>
      <c r="F11" s="18"/>
      <c r="G11" s="18"/>
      <c r="H11" s="18"/>
    </row>
    <row r="14" spans="1:8">
      <c r="A14" s="1" t="s">
        <v>3</v>
      </c>
      <c r="B14" s="1"/>
    </row>
    <row r="15" spans="1:8">
      <c r="A15" s="2" t="s">
        <v>4</v>
      </c>
      <c r="B15" s="3"/>
    </row>
    <row r="16" spans="1:8">
      <c r="A16" s="2" t="s">
        <v>5</v>
      </c>
      <c r="B16" s="3"/>
    </row>
    <row r="17" spans="1:8">
      <c r="A17" s="2" t="s">
        <v>6</v>
      </c>
      <c r="B17" s="3"/>
    </row>
    <row r="18" spans="1:8">
      <c r="A18" s="2" t="s">
        <v>7</v>
      </c>
      <c r="B18" s="3"/>
    </row>
    <row r="19" spans="1:8">
      <c r="A19" s="2" t="s">
        <v>8</v>
      </c>
      <c r="B19" s="3"/>
    </row>
    <row r="22" spans="1:8">
      <c r="A22" s="19" t="s">
        <v>9</v>
      </c>
      <c r="B22" s="19"/>
      <c r="C22" s="19"/>
      <c r="D22" s="19"/>
      <c r="E22" s="19"/>
      <c r="F22" s="19"/>
      <c r="G22" s="19"/>
      <c r="H22" s="19"/>
    </row>
    <row r="23" spans="1:8">
      <c r="A23" s="4" t="s">
        <v>10</v>
      </c>
      <c r="B23" s="5" t="s">
        <v>11</v>
      </c>
    </row>
    <row r="24" spans="1:8">
      <c r="A24" s="4" t="s">
        <v>12</v>
      </c>
      <c r="B24" s="5" t="s">
        <v>13</v>
      </c>
    </row>
    <row r="25" spans="1:8">
      <c r="A25" s="4" t="s">
        <v>14</v>
      </c>
      <c r="B25" s="5" t="s">
        <v>15</v>
      </c>
    </row>
    <row r="26" spans="1:8">
      <c r="A26" s="4" t="s">
        <v>16</v>
      </c>
      <c r="B26" s="5" t="s">
        <v>17</v>
      </c>
    </row>
    <row r="27" spans="1:8">
      <c r="A27" s="4" t="s">
        <v>18</v>
      </c>
      <c r="B27" s="5" t="s">
        <v>19</v>
      </c>
    </row>
    <row r="28" spans="1:8">
      <c r="A28" s="4" t="s">
        <v>20</v>
      </c>
      <c r="B28" s="5" t="s">
        <v>21</v>
      </c>
    </row>
    <row r="29" spans="1:8">
      <c r="A29" s="4" t="s">
        <v>22</v>
      </c>
      <c r="B29" s="5" t="s">
        <v>23</v>
      </c>
    </row>
    <row r="30" spans="1:8">
      <c r="A30" s="4" t="s">
        <v>24</v>
      </c>
      <c r="B30" s="5" t="s">
        <v>25</v>
      </c>
    </row>
  </sheetData>
  <mergeCells count="4">
    <mergeCell ref="A1:H2"/>
    <mergeCell ref="A4:H6"/>
    <mergeCell ref="A8:H11"/>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topLeftCell="A12" workbookViewId="0">
      <selection sqref="A1:H2"/>
    </sheetView>
  </sheetViews>
  <sheetFormatPr baseColWidth="10" defaultColWidth="8.6640625" defaultRowHeight="14"/>
  <cols>
    <col min="1" max="1" width="28" customWidth="1"/>
    <col min="2" max="2" width="32" customWidth="1"/>
    <col min="3" max="3" width="72" customWidth="1"/>
    <col min="4" max="8" width="14" customWidth="1"/>
  </cols>
  <sheetData>
    <row r="1" spans="1:8">
      <c r="A1" s="16" t="s">
        <v>26</v>
      </c>
      <c r="B1" s="16"/>
      <c r="C1" s="16"/>
      <c r="D1" s="16"/>
      <c r="E1" s="16"/>
      <c r="F1" s="16"/>
      <c r="G1" s="16"/>
      <c r="H1" s="16"/>
    </row>
    <row r="2" spans="1:8">
      <c r="A2" s="16"/>
      <c r="B2" s="16"/>
      <c r="C2" s="16"/>
      <c r="D2" s="16"/>
      <c r="E2" s="16"/>
      <c r="F2" s="16"/>
      <c r="G2" s="16"/>
      <c r="H2" s="16"/>
    </row>
    <row r="4" spans="1:8">
      <c r="A4" s="20" t="s">
        <v>27</v>
      </c>
      <c r="B4" s="20"/>
      <c r="C4" s="20"/>
      <c r="D4" s="20"/>
      <c r="E4" s="20"/>
      <c r="F4" s="20"/>
      <c r="G4" s="20"/>
      <c r="H4" s="20"/>
    </row>
    <row r="5" spans="1:8">
      <c r="A5" s="21" t="s">
        <v>28</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1" spans="1:8">
      <c r="A11" s="19" t="s">
        <v>29</v>
      </c>
      <c r="B11" s="19"/>
      <c r="C11" s="19"/>
      <c r="D11" s="19"/>
      <c r="E11" s="19"/>
      <c r="F11" s="19"/>
      <c r="G11" s="19"/>
      <c r="H11" s="19"/>
    </row>
    <row r="12" spans="1:8">
      <c r="A12" s="22" t="s">
        <v>30</v>
      </c>
      <c r="B12" s="22"/>
      <c r="C12" s="22"/>
      <c r="D12" s="22"/>
      <c r="E12" s="22"/>
      <c r="F12" s="22"/>
      <c r="G12" s="22"/>
      <c r="H12" s="22"/>
    </row>
    <row r="13" spans="1:8">
      <c r="A13" s="22"/>
      <c r="B13" s="22"/>
      <c r="C13" s="22"/>
      <c r="D13" s="22"/>
      <c r="E13" s="22"/>
      <c r="F13" s="22"/>
      <c r="G13" s="22"/>
      <c r="H13" s="22"/>
    </row>
    <row r="14" spans="1:8">
      <c r="A14" s="22"/>
      <c r="B14" s="22"/>
      <c r="C14" s="22"/>
      <c r="D14" s="22"/>
      <c r="E14" s="22"/>
      <c r="F14" s="22"/>
      <c r="G14" s="22"/>
      <c r="H14" s="22"/>
    </row>
    <row r="15" spans="1:8">
      <c r="A15" s="22"/>
      <c r="B15" s="22"/>
      <c r="C15" s="22"/>
      <c r="D15" s="22"/>
      <c r="E15" s="22"/>
      <c r="F15" s="22"/>
      <c r="G15" s="22"/>
      <c r="H15" s="22"/>
    </row>
    <row r="17" spans="1:8">
      <c r="A17" s="19" t="s">
        <v>31</v>
      </c>
      <c r="B17" s="19"/>
      <c r="C17" s="19"/>
      <c r="D17" s="19"/>
      <c r="E17" s="19"/>
      <c r="F17" s="19"/>
      <c r="G17" s="19"/>
      <c r="H17" s="19"/>
    </row>
    <row r="18" spans="1:8">
      <c r="A18" s="6" t="s">
        <v>32</v>
      </c>
      <c r="B18" s="6" t="s">
        <v>33</v>
      </c>
      <c r="C18" s="6" t="s">
        <v>34</v>
      </c>
    </row>
    <row r="19" spans="1:8">
      <c r="A19" s="7" t="s">
        <v>35</v>
      </c>
      <c r="B19" s="7" t="s">
        <v>36</v>
      </c>
      <c r="C19" s="5" t="s">
        <v>37</v>
      </c>
    </row>
    <row r="20" spans="1:8">
      <c r="A20" s="7" t="s">
        <v>38</v>
      </c>
      <c r="B20" s="7" t="s">
        <v>39</v>
      </c>
      <c r="C20" s="5" t="s">
        <v>40</v>
      </c>
    </row>
    <row r="21" spans="1:8">
      <c r="A21" s="7" t="s">
        <v>41</v>
      </c>
      <c r="B21" s="7" t="s">
        <v>42</v>
      </c>
      <c r="C21" s="5" t="s">
        <v>43</v>
      </c>
    </row>
    <row r="22" spans="1:8">
      <c r="A22" s="7" t="s">
        <v>44</v>
      </c>
      <c r="B22" s="7" t="s">
        <v>45</v>
      </c>
      <c r="C22" s="5" t="s">
        <v>46</v>
      </c>
    </row>
    <row r="25" spans="1:8">
      <c r="A25" s="19" t="s">
        <v>47</v>
      </c>
      <c r="B25" s="19"/>
      <c r="C25" s="19"/>
      <c r="D25" s="19"/>
      <c r="E25" s="19"/>
      <c r="F25" s="19"/>
      <c r="G25" s="19"/>
      <c r="H25" s="19"/>
    </row>
    <row r="26" spans="1:8">
      <c r="A26" s="23" t="s">
        <v>48</v>
      </c>
      <c r="B26" s="23"/>
      <c r="C26" s="23"/>
      <c r="D26" s="23"/>
      <c r="E26" s="23"/>
      <c r="F26" s="23"/>
      <c r="G26" s="23"/>
      <c r="H26" s="23"/>
    </row>
    <row r="27" spans="1:8">
      <c r="A27" s="23"/>
      <c r="B27" s="23"/>
      <c r="C27" s="23"/>
      <c r="D27" s="23"/>
      <c r="E27" s="23"/>
      <c r="F27" s="23"/>
      <c r="G27" s="23"/>
      <c r="H27" s="23"/>
    </row>
    <row r="28" spans="1:8">
      <c r="A28" s="23"/>
      <c r="B28" s="23"/>
      <c r="C28" s="23"/>
      <c r="D28" s="23"/>
      <c r="E28" s="23"/>
      <c r="F28" s="23"/>
      <c r="G28" s="23"/>
      <c r="H28" s="23"/>
    </row>
    <row r="29" spans="1:8">
      <c r="A29" s="23"/>
      <c r="B29" s="23"/>
      <c r="C29" s="23"/>
      <c r="D29" s="23"/>
      <c r="E29" s="23"/>
      <c r="F29" s="23"/>
      <c r="G29" s="23"/>
      <c r="H29" s="23"/>
    </row>
    <row r="30" spans="1:8">
      <c r="A30" s="23"/>
      <c r="B30" s="23"/>
      <c r="C30" s="23"/>
      <c r="D30" s="23"/>
      <c r="E30" s="23"/>
      <c r="F30" s="23"/>
      <c r="G30" s="23"/>
      <c r="H30" s="23"/>
    </row>
    <row r="31" spans="1:8">
      <c r="A31" s="23"/>
      <c r="B31" s="23"/>
      <c r="C31" s="23"/>
      <c r="D31" s="23"/>
      <c r="E31" s="23"/>
      <c r="F31" s="23"/>
      <c r="G31" s="23"/>
      <c r="H31" s="23"/>
    </row>
    <row r="32" spans="1:8">
      <c r="A32" s="23"/>
      <c r="B32" s="23"/>
      <c r="C32" s="23"/>
      <c r="D32" s="23"/>
      <c r="E32" s="23"/>
      <c r="F32" s="23"/>
      <c r="G32" s="23"/>
      <c r="H32" s="23"/>
    </row>
    <row r="33" spans="1:8">
      <c r="A33" s="23"/>
      <c r="B33" s="23"/>
      <c r="C33" s="23"/>
      <c r="D33" s="23"/>
      <c r="E33" s="23"/>
      <c r="F33" s="23"/>
      <c r="G33" s="23"/>
      <c r="H33" s="23"/>
    </row>
  </sheetData>
  <mergeCells count="8">
    <mergeCell ref="A17:H17"/>
    <mergeCell ref="A25:H25"/>
    <mergeCell ref="A26:H33"/>
    <mergeCell ref="A1:H2"/>
    <mergeCell ref="A4:H4"/>
    <mergeCell ref="A5:H9"/>
    <mergeCell ref="A11:H11"/>
    <mergeCell ref="A12:H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topLeftCell="A5" zoomScale="89" workbookViewId="0">
      <selection activeCell="D22" sqref="D22"/>
    </sheetView>
  </sheetViews>
  <sheetFormatPr baseColWidth="10" defaultColWidth="8.6640625" defaultRowHeight="14"/>
  <cols>
    <col min="1" max="1" width="46" customWidth="1"/>
    <col min="2" max="2" width="56" customWidth="1"/>
    <col min="3" max="3" width="22" customWidth="1"/>
    <col min="4" max="4" width="24" customWidth="1"/>
    <col min="5" max="5" width="16" customWidth="1"/>
    <col min="6" max="7" width="14" customWidth="1"/>
  </cols>
  <sheetData>
    <row r="1" spans="1:7">
      <c r="A1" s="16" t="s">
        <v>49</v>
      </c>
      <c r="B1" s="16"/>
      <c r="C1" s="16"/>
      <c r="D1" s="16"/>
      <c r="E1" s="16"/>
      <c r="F1" s="16"/>
      <c r="G1" s="16"/>
    </row>
    <row r="2" spans="1:7">
      <c r="A2" s="16"/>
      <c r="B2" s="16"/>
      <c r="C2" s="16"/>
      <c r="D2" s="16"/>
      <c r="E2" s="16"/>
      <c r="F2" s="16"/>
      <c r="G2" s="16"/>
    </row>
    <row r="4" spans="1:7">
      <c r="A4" s="20" t="s">
        <v>50</v>
      </c>
      <c r="B4" s="20"/>
      <c r="C4" s="20"/>
      <c r="D4" s="20"/>
      <c r="E4" s="20"/>
      <c r="F4" s="20"/>
      <c r="G4" s="20"/>
    </row>
    <row r="5" spans="1:7">
      <c r="A5" s="21" t="s">
        <v>51</v>
      </c>
      <c r="B5" s="21"/>
      <c r="C5" s="21"/>
      <c r="D5" s="21"/>
      <c r="E5" s="21"/>
      <c r="F5" s="21"/>
      <c r="G5" s="21"/>
    </row>
    <row r="6" spans="1:7">
      <c r="A6" s="21"/>
      <c r="B6" s="21"/>
      <c r="C6" s="21"/>
      <c r="D6" s="21"/>
      <c r="E6" s="21"/>
      <c r="F6" s="21"/>
      <c r="G6" s="21"/>
    </row>
    <row r="7" spans="1:7">
      <c r="A7" s="21"/>
      <c r="B7" s="21"/>
      <c r="C7" s="21"/>
      <c r="D7" s="21"/>
      <c r="E7" s="21"/>
      <c r="F7" s="21"/>
      <c r="G7" s="21"/>
    </row>
    <row r="8" spans="1:7">
      <c r="A8" s="21"/>
      <c r="B8" s="21"/>
      <c r="C8" s="21"/>
      <c r="D8" s="21"/>
      <c r="E8" s="21"/>
      <c r="F8" s="21"/>
      <c r="G8" s="21"/>
    </row>
    <row r="10" spans="1:7">
      <c r="A10" s="19" t="s">
        <v>52</v>
      </c>
      <c r="B10" s="19"/>
      <c r="C10" s="19"/>
      <c r="D10" s="19"/>
      <c r="E10" s="19"/>
      <c r="F10" s="19"/>
      <c r="G10" s="19"/>
    </row>
    <row r="11" spans="1:7">
      <c r="A11" s="6" t="s">
        <v>53</v>
      </c>
      <c r="B11" s="6" t="s">
        <v>54</v>
      </c>
      <c r="C11" s="6" t="s">
        <v>55</v>
      </c>
    </row>
    <row r="12" spans="1:7">
      <c r="A12" s="7" t="s">
        <v>56</v>
      </c>
      <c r="B12" s="7" t="s">
        <v>57</v>
      </c>
      <c r="C12" s="5"/>
    </row>
    <row r="13" spans="1:7">
      <c r="A13" s="7" t="s">
        <v>58</v>
      </c>
      <c r="B13" s="7" t="s">
        <v>59</v>
      </c>
      <c r="C13" s="5"/>
    </row>
    <row r="14" spans="1:7" ht="28">
      <c r="A14" s="7" t="s">
        <v>60</v>
      </c>
      <c r="B14" s="7" t="s">
        <v>61</v>
      </c>
      <c r="C14" s="5" t="s">
        <v>62</v>
      </c>
    </row>
    <row r="15" spans="1:7">
      <c r="A15" s="7" t="s">
        <v>63</v>
      </c>
      <c r="B15" s="8">
        <v>543750</v>
      </c>
      <c r="C15" s="5" t="s">
        <v>64</v>
      </c>
    </row>
    <row r="16" spans="1:7" ht="28">
      <c r="A16" s="7" t="s">
        <v>65</v>
      </c>
      <c r="B16" s="7" t="s">
        <v>66</v>
      </c>
      <c r="C16" s="5" t="s">
        <v>67</v>
      </c>
    </row>
    <row r="19" spans="1:7">
      <c r="A19" s="19" t="s">
        <v>68</v>
      </c>
      <c r="B19" s="19"/>
      <c r="C19" s="19"/>
      <c r="D19" s="19"/>
      <c r="E19" s="19"/>
      <c r="F19" s="19"/>
      <c r="G19" s="19"/>
    </row>
    <row r="20" spans="1:7">
      <c r="A20" s="6" t="s">
        <v>69</v>
      </c>
      <c r="B20" s="6" t="s">
        <v>70</v>
      </c>
      <c r="C20" s="6" t="s">
        <v>71</v>
      </c>
      <c r="D20" s="6"/>
      <c r="E20" s="6" t="s">
        <v>73</v>
      </c>
    </row>
    <row r="21" spans="1:7">
      <c r="A21" s="7" t="s">
        <v>74</v>
      </c>
      <c r="B21" s="3"/>
      <c r="C21" s="9"/>
      <c r="D21" s="7"/>
      <c r="E21" s="7" t="str">
        <f>IF(C21="","Pendiente",IF(ABS(C21-D21)&lt;0.01,"Correcto","Revisar"))</f>
        <v>Pendiente</v>
      </c>
    </row>
    <row r="22" spans="1:7">
      <c r="A22" s="7" t="s">
        <v>75</v>
      </c>
      <c r="B22" s="3"/>
      <c r="C22" s="3"/>
      <c r="D22" s="7" t="s">
        <v>76</v>
      </c>
      <c r="E22" s="7" t="str">
        <f>IF(C22="","Pendiente",IF(C22=D22,"Correcto","Revisar"))</f>
        <v>Pendiente</v>
      </c>
    </row>
  </sheetData>
  <mergeCells count="5">
    <mergeCell ref="A1:G2"/>
    <mergeCell ref="A4:G4"/>
    <mergeCell ref="A5:G8"/>
    <mergeCell ref="A10:G10"/>
    <mergeCell ref="A19:G19"/>
  </mergeCells>
  <dataValidations count="1">
    <dataValidation type="list" sqref="C22" xr:uid="{00000000-0002-0000-0200-000000000000}">
      <formula1>"Sí,No"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
  <sheetViews>
    <sheetView topLeftCell="A10" workbookViewId="0">
      <selection activeCell="E30" sqref="E30"/>
    </sheetView>
  </sheetViews>
  <sheetFormatPr baseColWidth="10" defaultColWidth="8.6640625" defaultRowHeight="14"/>
  <cols>
    <col min="1" max="1" width="14" customWidth="1"/>
    <col min="2" max="2" width="38" customWidth="1"/>
    <col min="3" max="3" width="44" customWidth="1"/>
    <col min="4" max="5" width="22" customWidth="1"/>
    <col min="6" max="6" width="16" customWidth="1"/>
    <col min="7" max="8" width="14" customWidth="1"/>
  </cols>
  <sheetData>
    <row r="1" spans="1:8">
      <c r="A1" s="16" t="s">
        <v>77</v>
      </c>
      <c r="B1" s="16"/>
      <c r="C1" s="16"/>
      <c r="D1" s="16"/>
      <c r="E1" s="16"/>
      <c r="F1" s="16"/>
      <c r="G1" s="16"/>
      <c r="H1" s="16"/>
    </row>
    <row r="2" spans="1:8">
      <c r="A2" s="16"/>
      <c r="B2" s="16"/>
      <c r="C2" s="16"/>
      <c r="D2" s="16"/>
      <c r="E2" s="16"/>
      <c r="F2" s="16"/>
      <c r="G2" s="16"/>
      <c r="H2" s="16"/>
    </row>
    <row r="4" spans="1:8">
      <c r="A4" s="20" t="s">
        <v>50</v>
      </c>
      <c r="B4" s="20"/>
      <c r="C4" s="20"/>
      <c r="D4" s="20"/>
      <c r="E4" s="20"/>
      <c r="F4" s="20"/>
      <c r="G4" s="20"/>
      <c r="H4" s="20"/>
    </row>
    <row r="5" spans="1:8">
      <c r="A5" s="21" t="s">
        <v>78</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1" spans="1:8">
      <c r="A11" s="19" t="s">
        <v>79</v>
      </c>
      <c r="B11" s="19"/>
      <c r="C11" s="19"/>
      <c r="D11" s="19"/>
      <c r="E11" s="19"/>
      <c r="F11" s="19"/>
      <c r="G11" s="19"/>
      <c r="H11" s="19"/>
    </row>
    <row r="12" spans="1:8">
      <c r="A12" s="6" t="s">
        <v>80</v>
      </c>
      <c r="B12" s="6" t="s">
        <v>81</v>
      </c>
      <c r="C12" s="6" t="s">
        <v>82</v>
      </c>
      <c r="D12" s="6" t="s">
        <v>83</v>
      </c>
    </row>
    <row r="13" spans="1:8">
      <c r="A13" s="7" t="s">
        <v>84</v>
      </c>
      <c r="B13" s="8">
        <v>2700000</v>
      </c>
      <c r="C13" s="7"/>
      <c r="D13" s="7" t="s">
        <v>86</v>
      </c>
    </row>
    <row r="14" spans="1:8">
      <c r="A14" s="7" t="s">
        <v>87</v>
      </c>
      <c r="B14" s="8">
        <v>300000</v>
      </c>
      <c r="C14" s="7"/>
      <c r="D14" s="7" t="s">
        <v>88</v>
      </c>
    </row>
    <row r="15" spans="1:8">
      <c r="A15" s="7" t="s">
        <v>89</v>
      </c>
      <c r="B15" s="8">
        <v>0</v>
      </c>
      <c r="C15" s="7"/>
      <c r="D15" s="7" t="s">
        <v>90</v>
      </c>
    </row>
    <row r="16" spans="1:8">
      <c r="A16" s="7" t="s">
        <v>91</v>
      </c>
      <c r="B16" s="10">
        <f>SUM(B13:B15)</f>
        <v>3000000</v>
      </c>
      <c r="C16" s="7"/>
      <c r="D16" s="7"/>
    </row>
    <row r="19" spans="1:8">
      <c r="A19" s="19" t="s">
        <v>92</v>
      </c>
      <c r="B19" s="19"/>
      <c r="C19" s="19"/>
      <c r="D19" s="19"/>
      <c r="E19" s="19"/>
      <c r="F19" s="19"/>
      <c r="G19" s="19"/>
      <c r="H19" s="19"/>
    </row>
    <row r="20" spans="1:8">
      <c r="A20" s="6" t="s">
        <v>80</v>
      </c>
      <c r="B20" s="6" t="s">
        <v>81</v>
      </c>
      <c r="C20" s="6" t="s">
        <v>82</v>
      </c>
      <c r="D20" s="6" t="s">
        <v>83</v>
      </c>
    </row>
    <row r="21" spans="1:8">
      <c r="A21" s="7" t="s">
        <v>93</v>
      </c>
      <c r="B21" s="8">
        <v>1200000</v>
      </c>
      <c r="C21" s="7"/>
      <c r="D21" s="7" t="s">
        <v>94</v>
      </c>
    </row>
    <row r="22" spans="1:8">
      <c r="A22" s="7" t="s">
        <v>95</v>
      </c>
      <c r="B22" s="8">
        <v>300000</v>
      </c>
      <c r="C22" s="7"/>
      <c r="D22" s="7" t="s">
        <v>96</v>
      </c>
    </row>
    <row r="23" spans="1:8">
      <c r="A23" s="7" t="s">
        <v>97</v>
      </c>
      <c r="B23" s="10">
        <f>SUM(B21:B22)</f>
        <v>1500000</v>
      </c>
      <c r="C23" s="7"/>
      <c r="D23" s="7"/>
    </row>
    <row r="26" spans="1:8">
      <c r="A26" s="19" t="s">
        <v>68</v>
      </c>
      <c r="B26" s="19"/>
      <c r="C26" s="19"/>
      <c r="D26" s="19"/>
      <c r="E26" s="19"/>
      <c r="F26" s="19"/>
      <c r="G26" s="19"/>
      <c r="H26" s="19"/>
    </row>
    <row r="27" spans="1:8">
      <c r="A27" s="6" t="s">
        <v>98</v>
      </c>
      <c r="B27" s="6" t="s">
        <v>99</v>
      </c>
      <c r="C27" s="6" t="s">
        <v>100</v>
      </c>
      <c r="D27" s="6" t="s">
        <v>71</v>
      </c>
      <c r="E27" s="6" t="s">
        <v>72</v>
      </c>
      <c r="F27" s="6" t="s">
        <v>73</v>
      </c>
    </row>
    <row r="28" spans="1:8">
      <c r="A28" s="7">
        <v>1</v>
      </c>
      <c r="B28" s="7" t="s">
        <v>91</v>
      </c>
      <c r="C28" s="3"/>
      <c r="D28" s="9"/>
      <c r="E28" s="7"/>
      <c r="F28" s="7" t="str">
        <f>IF(D28="","Pendiente",IF(ABS(D28-E28)&lt;0.01,"Correcto","Revisar"))</f>
        <v>Pendiente</v>
      </c>
    </row>
    <row r="29" spans="1:8">
      <c r="A29" s="7">
        <v>2</v>
      </c>
      <c r="B29" s="7" t="s">
        <v>97</v>
      </c>
      <c r="C29" s="3"/>
      <c r="D29" s="9"/>
      <c r="E29" s="7"/>
      <c r="F29" s="7" t="str">
        <f>IF(D29="","Pendiente",IF(ABS(D29-E29)&lt;0.01,"Correcto","Revisar"))</f>
        <v>Pendiente</v>
      </c>
    </row>
    <row r="30" spans="1:8">
      <c r="A30" s="7">
        <v>3</v>
      </c>
      <c r="B30" s="7" t="s">
        <v>101</v>
      </c>
      <c r="C30" s="3"/>
      <c r="D30" s="9"/>
      <c r="E30" s="7"/>
      <c r="F30" s="7" t="str">
        <f>IF(D30="","Pendiente",IF(ABS(D30-E30)&lt;0.01,"Correcto","Revisar"))</f>
        <v>Pendiente</v>
      </c>
    </row>
  </sheetData>
  <mergeCells count="6">
    <mergeCell ref="A26:H26"/>
    <mergeCell ref="A1:H2"/>
    <mergeCell ref="A4:H4"/>
    <mergeCell ref="A5:H9"/>
    <mergeCell ref="A11:H11"/>
    <mergeCell ref="A19:H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topLeftCell="A11" workbookViewId="0">
      <selection activeCell="D24" sqref="D24"/>
    </sheetView>
  </sheetViews>
  <sheetFormatPr baseColWidth="10" defaultColWidth="8.6640625" defaultRowHeight="14"/>
  <cols>
    <col min="1" max="1" width="52" customWidth="1"/>
    <col min="2" max="2" width="62" customWidth="1"/>
    <col min="3" max="3" width="22" customWidth="1"/>
    <col min="4" max="4" width="28" customWidth="1"/>
    <col min="5" max="5" width="16" customWidth="1"/>
    <col min="6" max="7" width="14" customWidth="1"/>
  </cols>
  <sheetData>
    <row r="1" spans="1:7">
      <c r="A1" s="16" t="s">
        <v>102</v>
      </c>
      <c r="B1" s="16"/>
      <c r="C1" s="16"/>
      <c r="D1" s="16"/>
      <c r="E1" s="16"/>
      <c r="F1" s="16"/>
      <c r="G1" s="16"/>
    </row>
    <row r="2" spans="1:7">
      <c r="A2" s="16"/>
      <c r="B2" s="16"/>
      <c r="C2" s="16"/>
      <c r="D2" s="16"/>
      <c r="E2" s="16"/>
      <c r="F2" s="16"/>
      <c r="G2" s="16"/>
    </row>
    <row r="4" spans="1:7">
      <c r="A4" s="20" t="s">
        <v>50</v>
      </c>
      <c r="B4" s="20"/>
      <c r="C4" s="20"/>
      <c r="D4" s="20"/>
      <c r="E4" s="20"/>
      <c r="F4" s="20"/>
      <c r="G4" s="20"/>
    </row>
    <row r="5" spans="1:7">
      <c r="A5" s="21" t="s">
        <v>103</v>
      </c>
      <c r="B5" s="21"/>
      <c r="C5" s="21"/>
      <c r="D5" s="21"/>
      <c r="E5" s="21"/>
      <c r="F5" s="21"/>
      <c r="G5" s="21"/>
    </row>
    <row r="6" spans="1:7">
      <c r="A6" s="21"/>
      <c r="B6" s="21"/>
      <c r="C6" s="21"/>
      <c r="D6" s="21"/>
      <c r="E6" s="21"/>
      <c r="F6" s="21"/>
      <c r="G6" s="21"/>
    </row>
    <row r="7" spans="1:7">
      <c r="A7" s="21"/>
      <c r="B7" s="21"/>
      <c r="C7" s="21"/>
      <c r="D7" s="21"/>
      <c r="E7" s="21"/>
      <c r="F7" s="21"/>
      <c r="G7" s="21"/>
    </row>
    <row r="8" spans="1:7">
      <c r="A8" s="21"/>
      <c r="B8" s="21"/>
      <c r="C8" s="21"/>
      <c r="D8" s="21"/>
      <c r="E8" s="21"/>
      <c r="F8" s="21"/>
      <c r="G8" s="21"/>
    </row>
    <row r="9" spans="1:7">
      <c r="A9" s="21"/>
      <c r="B9" s="21"/>
      <c r="C9" s="21"/>
      <c r="D9" s="21"/>
      <c r="E9" s="21"/>
      <c r="F9" s="21"/>
      <c r="G9" s="21"/>
    </row>
    <row r="11" spans="1:7">
      <c r="A11" s="19" t="s">
        <v>104</v>
      </c>
      <c r="B11" s="19"/>
      <c r="C11" s="19"/>
      <c r="D11" s="19"/>
      <c r="E11" s="19"/>
      <c r="F11" s="19"/>
      <c r="G11" s="19"/>
    </row>
    <row r="12" spans="1:7">
      <c r="A12" s="6" t="s">
        <v>99</v>
      </c>
      <c r="B12" s="6" t="s">
        <v>105</v>
      </c>
      <c r="C12" s="6" t="s">
        <v>106</v>
      </c>
    </row>
    <row r="13" spans="1:7" ht="28">
      <c r="A13" s="7" t="s">
        <v>107</v>
      </c>
      <c r="B13" s="11">
        <v>0.1</v>
      </c>
      <c r="C13" s="5" t="s">
        <v>108</v>
      </c>
    </row>
    <row r="14" spans="1:7" ht="28">
      <c r="A14" s="7" t="s">
        <v>109</v>
      </c>
      <c r="B14" s="7" t="s">
        <v>110</v>
      </c>
      <c r="C14" s="5" t="s">
        <v>111</v>
      </c>
    </row>
    <row r="15" spans="1:7" ht="28">
      <c r="A15" s="7" t="s">
        <v>112</v>
      </c>
      <c r="B15" s="7" t="s">
        <v>113</v>
      </c>
      <c r="C15" s="5" t="s">
        <v>114</v>
      </c>
    </row>
    <row r="16" spans="1:7" ht="28">
      <c r="A16" s="7" t="s">
        <v>115</v>
      </c>
      <c r="B16" s="7" t="s">
        <v>116</v>
      </c>
      <c r="C16" s="5" t="s">
        <v>117</v>
      </c>
    </row>
    <row r="19" spans="1:7">
      <c r="A19" s="19" t="s">
        <v>68</v>
      </c>
      <c r="B19" s="19"/>
      <c r="C19" s="19"/>
      <c r="D19" s="19"/>
      <c r="E19" s="19"/>
      <c r="F19" s="19"/>
      <c r="G19" s="19"/>
    </row>
    <row r="20" spans="1:7">
      <c r="A20" s="6" t="s">
        <v>69</v>
      </c>
      <c r="B20" s="6" t="s">
        <v>118</v>
      </c>
      <c r="C20" s="6" t="s">
        <v>71</v>
      </c>
      <c r="D20" s="6" t="s">
        <v>72</v>
      </c>
      <c r="E20" s="6" t="s">
        <v>73</v>
      </c>
    </row>
    <row r="21" spans="1:7">
      <c r="A21" s="7" t="s">
        <v>119</v>
      </c>
      <c r="B21" s="3"/>
      <c r="C21" s="12"/>
      <c r="D21" s="7"/>
      <c r="E21" s="7" t="str">
        <f>IF(C21="","Pendiente",IF(ABS(C21-D21)&lt;0.0001,"Correcto","Revisar"))</f>
        <v>Pendiente</v>
      </c>
    </row>
    <row r="22" spans="1:7">
      <c r="A22" s="7" t="s">
        <v>120</v>
      </c>
      <c r="B22" s="3"/>
      <c r="C22" s="3"/>
      <c r="D22" s="7"/>
      <c r="E22" s="7" t="str">
        <f>IF(LEN(TRIM(B22))&gt;=35,"Completado","Ampliar")</f>
        <v>Ampliar</v>
      </c>
    </row>
    <row r="23" spans="1:7">
      <c r="A23" s="7" t="s">
        <v>121</v>
      </c>
      <c r="B23" s="3"/>
      <c r="C23" s="3"/>
      <c r="D23" s="7"/>
      <c r="E23" s="7" t="str">
        <f>IF(C23="","Pendiente",IF(C23=D23,"Correcto","Revisar"))</f>
        <v>Pendiente</v>
      </c>
    </row>
  </sheetData>
  <mergeCells count="5">
    <mergeCell ref="A1:G2"/>
    <mergeCell ref="A4:G4"/>
    <mergeCell ref="A5:G9"/>
    <mergeCell ref="A11:G11"/>
    <mergeCell ref="A19:G19"/>
  </mergeCells>
  <dataValidations count="1">
    <dataValidation type="list" sqref="C23" xr:uid="{00000000-0002-0000-0400-000000000000}">
      <formula1>"Aumenta,Reduce"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topLeftCell="A5" workbookViewId="0">
      <selection activeCell="D15" sqref="D15"/>
    </sheetView>
  </sheetViews>
  <sheetFormatPr baseColWidth="10" defaultColWidth="8.6640625" defaultRowHeight="14"/>
  <cols>
    <col min="1" max="1" width="46" customWidth="1"/>
    <col min="2" max="2" width="64" customWidth="1"/>
    <col min="3" max="3" width="54" customWidth="1"/>
    <col min="4" max="5" width="22" customWidth="1"/>
    <col min="6" max="6" width="16" customWidth="1"/>
    <col min="7" max="7" width="14" customWidth="1"/>
  </cols>
  <sheetData>
    <row r="1" spans="1:7">
      <c r="A1" s="16" t="s">
        <v>122</v>
      </c>
      <c r="B1" s="16"/>
      <c r="C1" s="16"/>
      <c r="D1" s="16"/>
      <c r="E1" s="16"/>
      <c r="F1" s="16"/>
      <c r="G1" s="16"/>
    </row>
    <row r="2" spans="1:7">
      <c r="A2" s="16"/>
      <c r="B2" s="16"/>
      <c r="C2" s="16"/>
      <c r="D2" s="16"/>
      <c r="E2" s="16"/>
      <c r="F2" s="16"/>
      <c r="G2" s="16"/>
    </row>
    <row r="4" spans="1:7">
      <c r="A4" s="20" t="s">
        <v>123</v>
      </c>
      <c r="B4" s="20"/>
      <c r="C4" s="20"/>
      <c r="D4" s="20"/>
      <c r="E4" s="20"/>
      <c r="F4" s="20"/>
      <c r="G4" s="20"/>
    </row>
    <row r="5" spans="1:7">
      <c r="A5" s="21" t="s">
        <v>124</v>
      </c>
      <c r="B5" s="21"/>
      <c r="C5" s="21"/>
      <c r="D5" s="21"/>
      <c r="E5" s="21"/>
      <c r="F5" s="21"/>
      <c r="G5" s="21"/>
    </row>
    <row r="6" spans="1:7">
      <c r="A6" s="21"/>
      <c r="B6" s="21"/>
      <c r="C6" s="21"/>
      <c r="D6" s="21"/>
      <c r="E6" s="21"/>
      <c r="F6" s="21"/>
      <c r="G6" s="21"/>
    </row>
    <row r="7" spans="1:7">
      <c r="A7" s="21"/>
      <c r="B7" s="21"/>
      <c r="C7" s="21"/>
      <c r="D7" s="21"/>
      <c r="E7" s="21"/>
      <c r="F7" s="21"/>
      <c r="G7" s="21"/>
    </row>
    <row r="8" spans="1:7">
      <c r="A8" s="21"/>
      <c r="B8" s="21"/>
      <c r="C8" s="21"/>
      <c r="D8" s="21"/>
      <c r="E8" s="21"/>
      <c r="F8" s="21"/>
      <c r="G8" s="21"/>
    </row>
    <row r="9" spans="1:7">
      <c r="A9" s="21"/>
      <c r="B9" s="21"/>
      <c r="C9" s="21"/>
      <c r="D9" s="21"/>
      <c r="E9" s="21"/>
      <c r="F9" s="21"/>
      <c r="G9" s="21"/>
    </row>
    <row r="11" spans="1:7">
      <c r="A11" s="19" t="s">
        <v>125</v>
      </c>
      <c r="B11" s="19"/>
      <c r="C11" s="19"/>
      <c r="D11" s="19"/>
      <c r="E11" s="19"/>
      <c r="F11" s="19"/>
      <c r="G11" s="19"/>
    </row>
    <row r="12" spans="1:7">
      <c r="A12" s="6" t="s">
        <v>99</v>
      </c>
      <c r="B12" s="6" t="s">
        <v>126</v>
      </c>
      <c r="C12" s="6" t="s">
        <v>100</v>
      </c>
      <c r="D12" s="6" t="s">
        <v>71</v>
      </c>
      <c r="E12" s="6" t="s">
        <v>72</v>
      </c>
      <c r="F12" s="6" t="s">
        <v>73</v>
      </c>
    </row>
    <row r="13" spans="1:7">
      <c r="A13" s="7" t="s">
        <v>127</v>
      </c>
      <c r="B13" s="7" t="s">
        <v>38</v>
      </c>
      <c r="C13" s="3"/>
      <c r="D13" s="9"/>
      <c r="E13" s="7"/>
      <c r="F13" s="7" t="str">
        <f>IF(D13="","Pendiente",IF(ABS(D13-E13)&lt;0.01,"Correcto","Revisar"))</f>
        <v>Pendiente</v>
      </c>
    </row>
    <row r="14" spans="1:7">
      <c r="A14" s="7" t="s">
        <v>128</v>
      </c>
      <c r="B14" s="7" t="s">
        <v>38</v>
      </c>
      <c r="C14" s="3"/>
      <c r="D14" s="9"/>
      <c r="E14" s="7"/>
      <c r="F14" s="7" t="str">
        <f>IF(D14="","Pendiente",IF(ABS(D14-E14)&lt;0.01,"Correcto","Revisar"))</f>
        <v>Pendiente</v>
      </c>
    </row>
    <row r="15" spans="1:7">
      <c r="A15" s="7" t="s">
        <v>101</v>
      </c>
      <c r="B15" s="7" t="s">
        <v>129</v>
      </c>
      <c r="C15" s="3"/>
      <c r="D15" s="9"/>
      <c r="E15" s="7"/>
      <c r="F15" s="7" t="str">
        <f>IF(D15="","Pendiente",IF(ABS(D15-E15)&lt;0.01,"Correcto","Revisar"))</f>
        <v>Pendiente</v>
      </c>
    </row>
    <row r="18" spans="1:7">
      <c r="A18" s="19" t="s">
        <v>130</v>
      </c>
      <c r="B18" s="19"/>
      <c r="C18" s="19"/>
      <c r="D18" s="19"/>
      <c r="E18" s="19"/>
      <c r="F18" s="19"/>
      <c r="G18" s="19"/>
    </row>
    <row r="19" spans="1:7">
      <c r="A19" s="6" t="s">
        <v>69</v>
      </c>
      <c r="B19" s="6" t="s">
        <v>131</v>
      </c>
      <c r="C19" s="6" t="s">
        <v>132</v>
      </c>
    </row>
    <row r="20" spans="1:7">
      <c r="A20" s="7" t="s">
        <v>133</v>
      </c>
      <c r="B20" s="13"/>
      <c r="C20" s="7" t="s">
        <v>134</v>
      </c>
    </row>
    <row r="21" spans="1:7">
      <c r="A21" s="7" t="s">
        <v>135</v>
      </c>
      <c r="B21" s="13"/>
      <c r="C21" s="7" t="s">
        <v>136</v>
      </c>
    </row>
    <row r="22" spans="1:7">
      <c r="A22" s="7" t="s">
        <v>137</v>
      </c>
      <c r="B22" s="13"/>
      <c r="C22" s="7" t="s">
        <v>138</v>
      </c>
    </row>
  </sheetData>
  <mergeCells count="5">
    <mergeCell ref="A1:G2"/>
    <mergeCell ref="A4:G4"/>
    <mergeCell ref="A5:G9"/>
    <mergeCell ref="A11:G11"/>
    <mergeCell ref="A18:G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2"/>
  <sheetViews>
    <sheetView topLeftCell="A5" workbookViewId="0">
      <selection activeCell="E16" sqref="E16"/>
    </sheetView>
  </sheetViews>
  <sheetFormatPr baseColWidth="10" defaultColWidth="8.6640625" defaultRowHeight="14"/>
  <cols>
    <col min="1" max="1" width="46" customWidth="1"/>
    <col min="2" max="2" width="64" customWidth="1"/>
    <col min="3" max="3" width="52" customWidth="1"/>
    <col min="4" max="5" width="22" customWidth="1"/>
    <col min="6" max="6" width="16" customWidth="1"/>
    <col min="7" max="7" width="14" customWidth="1"/>
  </cols>
  <sheetData>
    <row r="1" spans="1:7">
      <c r="A1" s="16" t="s">
        <v>139</v>
      </c>
      <c r="B1" s="16"/>
      <c r="C1" s="16"/>
      <c r="D1" s="16"/>
      <c r="E1" s="16"/>
      <c r="F1" s="16"/>
      <c r="G1" s="16"/>
    </row>
    <row r="2" spans="1:7">
      <c r="A2" s="16"/>
      <c r="B2" s="16"/>
      <c r="C2" s="16"/>
      <c r="D2" s="16"/>
      <c r="E2" s="16"/>
      <c r="F2" s="16"/>
      <c r="G2" s="16"/>
    </row>
    <row r="4" spans="1:7">
      <c r="A4" s="20" t="s">
        <v>123</v>
      </c>
      <c r="B4" s="20"/>
      <c r="C4" s="20"/>
      <c r="D4" s="20"/>
      <c r="E4" s="20"/>
      <c r="F4" s="20"/>
      <c r="G4" s="20"/>
    </row>
    <row r="5" spans="1:7">
      <c r="A5" s="21" t="s">
        <v>140</v>
      </c>
      <c r="B5" s="21"/>
      <c r="C5" s="21"/>
      <c r="D5" s="21"/>
      <c r="E5" s="21"/>
      <c r="F5" s="21"/>
      <c r="G5" s="21"/>
    </row>
    <row r="6" spans="1:7">
      <c r="A6" s="21"/>
      <c r="B6" s="21"/>
      <c r="C6" s="21"/>
      <c r="D6" s="21"/>
      <c r="E6" s="21"/>
      <c r="F6" s="21"/>
      <c r="G6" s="21"/>
    </row>
    <row r="7" spans="1:7">
      <c r="A7" s="21"/>
      <c r="B7" s="21"/>
      <c r="C7" s="21"/>
      <c r="D7" s="21"/>
      <c r="E7" s="21"/>
      <c r="F7" s="21"/>
      <c r="G7" s="21"/>
    </row>
    <row r="8" spans="1:7">
      <c r="A8" s="21"/>
      <c r="B8" s="21"/>
      <c r="C8" s="21"/>
      <c r="D8" s="21"/>
      <c r="E8" s="21"/>
      <c r="F8" s="21"/>
      <c r="G8" s="21"/>
    </row>
    <row r="9" spans="1:7">
      <c r="A9" s="21"/>
      <c r="B9" s="21"/>
      <c r="C9" s="21"/>
      <c r="D9" s="21"/>
      <c r="E9" s="21"/>
      <c r="F9" s="21"/>
      <c r="G9" s="21"/>
    </row>
    <row r="11" spans="1:7">
      <c r="A11" s="19" t="s">
        <v>125</v>
      </c>
      <c r="B11" s="19"/>
      <c r="C11" s="19"/>
      <c r="D11" s="19"/>
      <c r="E11" s="19"/>
      <c r="F11" s="19"/>
      <c r="G11" s="19"/>
    </row>
    <row r="12" spans="1:7">
      <c r="A12" s="6" t="s">
        <v>99</v>
      </c>
      <c r="B12" s="6" t="s">
        <v>126</v>
      </c>
      <c r="C12" s="6" t="s">
        <v>100</v>
      </c>
      <c r="D12" s="6" t="s">
        <v>71</v>
      </c>
      <c r="E12" s="6" t="s">
        <v>72</v>
      </c>
      <c r="F12" s="6" t="s">
        <v>73</v>
      </c>
    </row>
    <row r="13" spans="1:7">
      <c r="A13" s="7" t="s">
        <v>101</v>
      </c>
      <c r="B13" s="7" t="s">
        <v>10</v>
      </c>
      <c r="C13" s="3"/>
      <c r="D13" s="9"/>
      <c r="E13" s="8"/>
      <c r="F13" s="7" t="str">
        <f>IF(D13="","Pendiente",IF(ABS(D13-E13)&lt;0.01,"Correcto","Revisar"))</f>
        <v>Pendiente</v>
      </c>
    </row>
    <row r="14" spans="1:7">
      <c r="A14" s="7" t="s">
        <v>141</v>
      </c>
      <c r="B14" s="7" t="s">
        <v>41</v>
      </c>
      <c r="C14" s="3"/>
      <c r="D14" s="12"/>
      <c r="E14" s="11"/>
      <c r="F14" s="7" t="str">
        <f>IF(D14="","Pendiente",IF(ABS(D14-E14)&lt;0.01,"Correcto","Revisar"))</f>
        <v>Pendiente</v>
      </c>
    </row>
    <row r="15" spans="1:7">
      <c r="A15" s="7" t="s">
        <v>142</v>
      </c>
      <c r="B15" s="7" t="s">
        <v>143</v>
      </c>
      <c r="C15" s="3"/>
      <c r="D15" s="9"/>
      <c r="E15" s="8"/>
      <c r="F15" s="7" t="str">
        <f>IF(D15="","Pendiente",IF(ABS(D15-E15)&lt;0.01,"Correcto","Revisar"))</f>
        <v>Pendiente</v>
      </c>
    </row>
    <row r="18" spans="1:7">
      <c r="A18" s="19" t="s">
        <v>144</v>
      </c>
      <c r="B18" s="19"/>
      <c r="C18" s="19"/>
      <c r="D18" s="19"/>
      <c r="E18" s="19"/>
      <c r="F18" s="19"/>
      <c r="G18" s="19"/>
    </row>
    <row r="19" spans="1:7">
      <c r="A19" s="6" t="s">
        <v>69</v>
      </c>
      <c r="B19" s="6" t="s">
        <v>131</v>
      </c>
      <c r="C19" s="6" t="s">
        <v>132</v>
      </c>
    </row>
    <row r="20" spans="1:7">
      <c r="A20" s="7" t="s">
        <v>145</v>
      </c>
      <c r="B20" s="13"/>
      <c r="C20" s="7" t="s">
        <v>146</v>
      </c>
    </row>
    <row r="21" spans="1:7">
      <c r="A21" s="7" t="s">
        <v>147</v>
      </c>
      <c r="B21" s="13"/>
      <c r="C21" s="7" t="s">
        <v>148</v>
      </c>
    </row>
    <row r="22" spans="1:7">
      <c r="A22" s="7" t="s">
        <v>149</v>
      </c>
      <c r="B22" s="13"/>
      <c r="C22" s="7" t="s">
        <v>148</v>
      </c>
    </row>
  </sheetData>
  <mergeCells count="5">
    <mergeCell ref="A1:G2"/>
    <mergeCell ref="A4:G4"/>
    <mergeCell ref="A5:G9"/>
    <mergeCell ref="A11:G11"/>
    <mergeCell ref="A18:G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3"/>
  <sheetViews>
    <sheetView topLeftCell="A7" workbookViewId="0">
      <selection activeCell="C23" sqref="C23"/>
    </sheetView>
  </sheetViews>
  <sheetFormatPr baseColWidth="10" defaultColWidth="8.6640625" defaultRowHeight="14"/>
  <cols>
    <col min="1" max="1" width="34" customWidth="1"/>
    <col min="2" max="2" width="54" customWidth="1"/>
    <col min="3" max="3" width="52" customWidth="1"/>
    <col min="4" max="5" width="24" customWidth="1"/>
    <col min="6" max="6" width="16" customWidth="1"/>
    <col min="7" max="8" width="14" customWidth="1"/>
  </cols>
  <sheetData>
    <row r="1" spans="1:8">
      <c r="A1" s="16" t="s">
        <v>150</v>
      </c>
      <c r="B1" s="16"/>
      <c r="C1" s="16"/>
      <c r="D1" s="16"/>
      <c r="E1" s="16"/>
      <c r="F1" s="16"/>
      <c r="G1" s="16"/>
      <c r="H1" s="16"/>
    </row>
    <row r="2" spans="1:8">
      <c r="A2" s="16"/>
      <c r="B2" s="16"/>
      <c r="C2" s="16"/>
      <c r="D2" s="16"/>
      <c r="E2" s="16"/>
      <c r="F2" s="16"/>
      <c r="G2" s="16"/>
      <c r="H2" s="16"/>
    </row>
    <row r="4" spans="1:8">
      <c r="A4" s="20" t="s">
        <v>123</v>
      </c>
      <c r="B4" s="20"/>
      <c r="C4" s="20"/>
      <c r="D4" s="20"/>
      <c r="E4" s="20"/>
      <c r="F4" s="20"/>
      <c r="G4" s="20"/>
      <c r="H4" s="20"/>
    </row>
    <row r="5" spans="1:8">
      <c r="A5" s="21" t="s">
        <v>151</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0" spans="1:8">
      <c r="A10" s="21"/>
      <c r="B10" s="21"/>
      <c r="C10" s="21"/>
      <c r="D10" s="21"/>
      <c r="E10" s="21"/>
      <c r="F10" s="21"/>
      <c r="G10" s="21"/>
      <c r="H10" s="21"/>
    </row>
    <row r="12" spans="1:8">
      <c r="A12" s="19" t="s">
        <v>152</v>
      </c>
      <c r="B12" s="19"/>
      <c r="C12" s="19"/>
      <c r="D12" s="19"/>
      <c r="E12" s="19"/>
      <c r="F12" s="19"/>
      <c r="G12" s="19"/>
      <c r="H12" s="19"/>
    </row>
    <row r="13" spans="1:8">
      <c r="A13" s="6" t="s">
        <v>153</v>
      </c>
      <c r="B13" s="6" t="s">
        <v>154</v>
      </c>
      <c r="C13" s="6" t="s">
        <v>155</v>
      </c>
      <c r="D13" s="6" t="s">
        <v>131</v>
      </c>
      <c r="E13" s="6" t="s">
        <v>72</v>
      </c>
      <c r="F13" s="6" t="s">
        <v>73</v>
      </c>
    </row>
    <row r="14" spans="1:8">
      <c r="A14" s="7">
        <v>1</v>
      </c>
      <c r="B14" s="7" t="s">
        <v>156</v>
      </c>
      <c r="C14" s="7" t="s">
        <v>157</v>
      </c>
      <c r="D14" s="9"/>
      <c r="E14" s="8"/>
      <c r="F14" s="7" t="str">
        <f>IF(D14="","Pendiente",IF(ABS(D14-E14)&lt;0.01,"Correcto","Revisar"))</f>
        <v>Pendiente</v>
      </c>
    </row>
    <row r="15" spans="1:8">
      <c r="A15" s="7">
        <v>2</v>
      </c>
      <c r="B15" s="7" t="s">
        <v>142</v>
      </c>
      <c r="C15" s="7" t="s">
        <v>158</v>
      </c>
      <c r="D15" s="9"/>
      <c r="E15" s="8"/>
      <c r="F15" s="7" t="str">
        <f>IF(D15="","Pendiente",IF(ABS(D15-E15)&lt;0.01,"Correcto","Revisar"))</f>
        <v>Pendiente</v>
      </c>
    </row>
    <row r="16" spans="1:8">
      <c r="A16" s="14">
        <v>3</v>
      </c>
      <c r="B16" s="14" t="s">
        <v>159</v>
      </c>
      <c r="C16" s="14" t="s">
        <v>160</v>
      </c>
      <c r="D16" s="15"/>
      <c r="E16" s="15"/>
      <c r="F16" s="14" t="str">
        <f>IF(D16="","Pendiente",IF(ABS(D16-E16)&lt;0.01,"Correcto","Revisar"))</f>
        <v>Pendiente</v>
      </c>
    </row>
    <row r="19" spans="1:8">
      <c r="A19" s="19" t="s">
        <v>161</v>
      </c>
      <c r="B19" s="19"/>
      <c r="C19" s="19"/>
      <c r="D19" s="19"/>
      <c r="E19" s="19"/>
      <c r="F19" s="19"/>
      <c r="G19" s="19"/>
      <c r="H19" s="19"/>
    </row>
    <row r="20" spans="1:8">
      <c r="A20" s="6" t="s">
        <v>162</v>
      </c>
      <c r="B20" s="6" t="s">
        <v>131</v>
      </c>
      <c r="C20" s="6" t="s">
        <v>132</v>
      </c>
    </row>
    <row r="21" spans="1:8">
      <c r="A21" s="7" t="s">
        <v>100</v>
      </c>
      <c r="B21" s="3"/>
      <c r="C21" s="7"/>
    </row>
    <row r="22" spans="1:8">
      <c r="A22" s="7" t="s">
        <v>163</v>
      </c>
      <c r="B22" s="9"/>
      <c r="C22" s="7"/>
    </row>
    <row r="23" spans="1:8">
      <c r="A23" s="7" t="s">
        <v>164</v>
      </c>
      <c r="B23" s="3"/>
      <c r="C23" s="7" t="s">
        <v>165</v>
      </c>
    </row>
  </sheetData>
  <mergeCells count="5">
    <mergeCell ref="A1:H2"/>
    <mergeCell ref="A4:H4"/>
    <mergeCell ref="A5:H10"/>
    <mergeCell ref="A12:H12"/>
    <mergeCell ref="A19:H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9"/>
  <sheetViews>
    <sheetView topLeftCell="B16" workbookViewId="0">
      <selection activeCell="F18" sqref="F18"/>
    </sheetView>
  </sheetViews>
  <sheetFormatPr baseColWidth="10" defaultColWidth="8.6640625" defaultRowHeight="14"/>
  <cols>
    <col min="1" max="1" width="34" customWidth="1"/>
    <col min="2" max="2" width="26" customWidth="1"/>
    <col min="3" max="3" width="28" customWidth="1"/>
    <col min="4" max="4" width="14" customWidth="1"/>
    <col min="5" max="5" width="26" customWidth="1"/>
    <col min="6" max="6" width="40" customWidth="1"/>
    <col min="7" max="8" width="14" customWidth="1"/>
  </cols>
  <sheetData>
    <row r="1" spans="1:8">
      <c r="A1" s="16" t="s">
        <v>166</v>
      </c>
      <c r="B1" s="16"/>
      <c r="C1" s="16"/>
      <c r="D1" s="16"/>
      <c r="E1" s="16"/>
      <c r="F1" s="16"/>
      <c r="G1" s="16"/>
      <c r="H1" s="16"/>
    </row>
    <row r="2" spans="1:8">
      <c r="A2" s="16"/>
      <c r="B2" s="16"/>
      <c r="C2" s="16"/>
      <c r="D2" s="16"/>
      <c r="E2" s="16"/>
      <c r="F2" s="16"/>
      <c r="G2" s="16"/>
      <c r="H2" s="16"/>
    </row>
    <row r="4" spans="1:8">
      <c r="A4" s="20" t="s">
        <v>50</v>
      </c>
      <c r="B4" s="20"/>
      <c r="C4" s="20"/>
      <c r="D4" s="20"/>
      <c r="E4" s="20"/>
      <c r="F4" s="20"/>
      <c r="G4" s="20"/>
      <c r="H4" s="20"/>
    </row>
    <row r="5" spans="1:8">
      <c r="A5" s="21" t="s">
        <v>167</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1" spans="1:8">
      <c r="A11" s="19" t="s">
        <v>168</v>
      </c>
      <c r="B11" s="19"/>
      <c r="C11" s="19"/>
      <c r="D11" s="19"/>
      <c r="E11" s="19"/>
      <c r="F11" s="19"/>
      <c r="G11" s="19"/>
      <c r="H11" s="19"/>
    </row>
    <row r="12" spans="1:8">
      <c r="A12" s="6" t="s">
        <v>169</v>
      </c>
      <c r="B12" s="6" t="s">
        <v>63</v>
      </c>
      <c r="C12" s="6" t="s">
        <v>170</v>
      </c>
      <c r="D12" s="6" t="s">
        <v>141</v>
      </c>
      <c r="E12" s="6" t="s">
        <v>142</v>
      </c>
      <c r="F12" s="6" t="s">
        <v>171</v>
      </c>
    </row>
    <row r="13" spans="1:8">
      <c r="A13" s="7" t="s">
        <v>172</v>
      </c>
      <c r="B13" s="8">
        <v>543750</v>
      </c>
      <c r="C13" s="8">
        <v>4500000</v>
      </c>
      <c r="D13" s="11">
        <v>0.1</v>
      </c>
      <c r="E13" s="8">
        <f>C13*D13</f>
        <v>450000</v>
      </c>
      <c r="F13" s="8"/>
    </row>
    <row r="14" spans="1:8">
      <c r="A14" s="7" t="s">
        <v>173</v>
      </c>
      <c r="B14" s="8">
        <v>543750</v>
      </c>
      <c r="C14" s="8">
        <v>4500000</v>
      </c>
      <c r="D14" s="11">
        <v>0.12</v>
      </c>
      <c r="E14" s="8">
        <f>C14*D14</f>
        <v>540000</v>
      </c>
      <c r="F14" s="8"/>
    </row>
    <row r="15" spans="1:8">
      <c r="A15" s="7" t="s">
        <v>174</v>
      </c>
      <c r="B15" s="8">
        <v>450000</v>
      </c>
      <c r="C15" s="8">
        <v>4500000</v>
      </c>
      <c r="D15" s="11">
        <v>0.1</v>
      </c>
      <c r="E15" s="8">
        <f>C15*D15</f>
        <v>450000</v>
      </c>
      <c r="F15" s="8"/>
    </row>
    <row r="16" spans="1:8">
      <c r="A16" s="7" t="s">
        <v>175</v>
      </c>
      <c r="B16" s="8">
        <v>543750</v>
      </c>
      <c r="C16" s="8">
        <v>5000000</v>
      </c>
      <c r="D16" s="11">
        <v>0.1</v>
      </c>
      <c r="E16" s="8">
        <f>C16*D16</f>
        <v>500000</v>
      </c>
      <c r="F16" s="8"/>
    </row>
    <row r="19" spans="1:8">
      <c r="A19" s="19" t="s">
        <v>176</v>
      </c>
      <c r="B19" s="19"/>
      <c r="C19" s="19"/>
      <c r="D19" s="19"/>
      <c r="E19" s="19"/>
      <c r="F19" s="19"/>
      <c r="G19" s="19"/>
      <c r="H19" s="19"/>
    </row>
    <row r="20" spans="1:8">
      <c r="A20" s="6" t="s">
        <v>177</v>
      </c>
      <c r="B20" s="6" t="s">
        <v>178</v>
      </c>
      <c r="C20" s="6" t="s">
        <v>179</v>
      </c>
      <c r="D20" s="6" t="s">
        <v>180</v>
      </c>
      <c r="E20" s="6" t="s">
        <v>181</v>
      </c>
      <c r="F20" s="6" t="s">
        <v>115</v>
      </c>
    </row>
    <row r="21" spans="1:8">
      <c r="A21" t="s">
        <v>156</v>
      </c>
      <c r="B21" s="8">
        <v>543750</v>
      </c>
      <c r="C21" s="9"/>
      <c r="D21" t="s">
        <v>182</v>
      </c>
    </row>
    <row r="22" spans="1:8">
      <c r="A22" t="s">
        <v>101</v>
      </c>
      <c r="B22" s="8">
        <v>4500000</v>
      </c>
      <c r="C22" s="9"/>
      <c r="D22" t="s">
        <v>182</v>
      </c>
    </row>
    <row r="23" spans="1:8">
      <c r="A23" t="s">
        <v>141</v>
      </c>
      <c r="B23" s="11">
        <v>0.1</v>
      </c>
      <c r="C23" s="12"/>
      <c r="D23" t="s">
        <v>183</v>
      </c>
    </row>
    <row r="26" spans="1:8">
      <c r="A26" s="6" t="s">
        <v>184</v>
      </c>
      <c r="B26" s="6" t="s">
        <v>185</v>
      </c>
      <c r="C26" s="6" t="s">
        <v>163</v>
      </c>
    </row>
    <row r="27" spans="1:8">
      <c r="A27" s="7" t="s">
        <v>142</v>
      </c>
      <c r="B27" s="7" t="s">
        <v>143</v>
      </c>
      <c r="C27" s="8">
        <f>C22*C23</f>
        <v>0</v>
      </c>
    </row>
    <row r="28" spans="1:8">
      <c r="A28" s="7" t="s">
        <v>171</v>
      </c>
      <c r="B28" s="7" t="s">
        <v>186</v>
      </c>
      <c r="C28" s="8">
        <f>C21-C27</f>
        <v>0</v>
      </c>
    </row>
    <row r="29" spans="1:8">
      <c r="A29" s="7" t="s">
        <v>73</v>
      </c>
      <c r="B29" s="7" t="s">
        <v>187</v>
      </c>
      <c r="C29" s="7" t="str">
        <f>IF(C28&gt;0,"Crea valor",IF(C28=0,"No crea ni destruye","Destruye valor"))</f>
        <v>No crea ni destruye</v>
      </c>
    </row>
  </sheetData>
  <mergeCells count="5">
    <mergeCell ref="A1:H2"/>
    <mergeCell ref="A4:H4"/>
    <mergeCell ref="A5:H9"/>
    <mergeCell ref="A11:H11"/>
    <mergeCell ref="A19:H19"/>
  </mergeCells>
  <conditionalFormatting sqref="C29">
    <cfRule type="expression" dxfId="1" priority="1">
      <formula>C29="Crea valor"</formula>
    </cfRule>
    <cfRule type="expression" dxfId="0" priority="2">
      <formula>C29="Destruye valor"</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4"/>
  <sheetViews>
    <sheetView tabSelected="1" topLeftCell="A4" zoomScale="74" workbookViewId="0">
      <selection activeCell="B28" sqref="B28"/>
    </sheetView>
  </sheetViews>
  <sheetFormatPr baseColWidth="10" defaultColWidth="8.6640625" defaultRowHeight="14"/>
  <cols>
    <col min="1" max="1" width="58" customWidth="1"/>
    <col min="2" max="2" width="74" customWidth="1"/>
    <col min="3" max="5" width="18" customWidth="1"/>
    <col min="6" max="8" width="14" customWidth="1"/>
  </cols>
  <sheetData>
    <row r="1" spans="1:8">
      <c r="A1" s="16" t="s">
        <v>188</v>
      </c>
      <c r="B1" s="16"/>
      <c r="C1" s="16"/>
      <c r="D1" s="16"/>
      <c r="E1" s="16"/>
      <c r="F1" s="16"/>
      <c r="G1" s="16"/>
      <c r="H1" s="16"/>
    </row>
    <row r="2" spans="1:8">
      <c r="A2" s="16"/>
      <c r="B2" s="16"/>
      <c r="C2" s="16"/>
      <c r="D2" s="16"/>
      <c r="E2" s="16"/>
      <c r="F2" s="16"/>
      <c r="G2" s="16"/>
      <c r="H2" s="16"/>
    </row>
    <row r="4" spans="1:8">
      <c r="A4" s="20" t="s">
        <v>50</v>
      </c>
      <c r="B4" s="20"/>
      <c r="C4" s="20"/>
      <c r="D4" s="20"/>
      <c r="E4" s="20"/>
      <c r="F4" s="20"/>
      <c r="G4" s="20"/>
      <c r="H4" s="20"/>
    </row>
    <row r="5" spans="1:8">
      <c r="A5" s="21" t="s">
        <v>189</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1" spans="1:8">
      <c r="A11" s="19" t="s">
        <v>190</v>
      </c>
      <c r="B11" s="19"/>
      <c r="C11" s="19"/>
      <c r="D11" s="19"/>
      <c r="E11" s="19"/>
      <c r="F11" s="19"/>
      <c r="G11" s="19"/>
      <c r="H11" s="19"/>
    </row>
    <row r="12" spans="1:8">
      <c r="A12" s="6" t="s">
        <v>99</v>
      </c>
      <c r="B12" s="6" t="s">
        <v>163</v>
      </c>
      <c r="C12" s="6" t="s">
        <v>191</v>
      </c>
    </row>
    <row r="13" spans="1:8" ht="28">
      <c r="A13" s="7" t="s">
        <v>156</v>
      </c>
      <c r="B13" s="8"/>
      <c r="C13" s="5" t="s">
        <v>192</v>
      </c>
    </row>
    <row r="14" spans="1:8" ht="42">
      <c r="A14" s="7" t="s">
        <v>101</v>
      </c>
      <c r="B14" s="8"/>
      <c r="C14" s="5" t="s">
        <v>193</v>
      </c>
    </row>
    <row r="15" spans="1:8" ht="28">
      <c r="A15" s="7" t="s">
        <v>142</v>
      </c>
      <c r="B15" s="8"/>
      <c r="C15" s="5" t="s">
        <v>194</v>
      </c>
    </row>
    <row r="16" spans="1:8" ht="42">
      <c r="A16" s="7" t="s">
        <v>171</v>
      </c>
      <c r="B16" s="8"/>
      <c r="C16" s="5" t="s">
        <v>195</v>
      </c>
    </row>
    <row r="19" spans="1:8">
      <c r="A19" s="19" t="s">
        <v>196</v>
      </c>
      <c r="B19" s="19"/>
      <c r="C19" s="19"/>
      <c r="D19" s="19"/>
      <c r="E19" s="19"/>
      <c r="F19" s="19"/>
      <c r="G19" s="19"/>
      <c r="H19" s="19"/>
    </row>
    <row r="20" spans="1:8">
      <c r="A20" s="6" t="s">
        <v>69</v>
      </c>
      <c r="B20" s="6" t="s">
        <v>131</v>
      </c>
    </row>
    <row r="21" spans="1:8">
      <c r="A21" s="7" t="s">
        <v>197</v>
      </c>
      <c r="B21" s="13"/>
    </row>
    <row r="22" spans="1:8">
      <c r="A22" s="7" t="s">
        <v>198</v>
      </c>
      <c r="B22" s="13"/>
    </row>
    <row r="23" spans="1:8">
      <c r="A23" s="7" t="s">
        <v>199</v>
      </c>
      <c r="B23" s="13"/>
    </row>
    <row r="24" spans="1:8">
      <c r="A24" s="7" t="s">
        <v>200</v>
      </c>
      <c r="B24" s="13"/>
    </row>
    <row r="25" spans="1:8">
      <c r="A25" s="7" t="s">
        <v>201</v>
      </c>
      <c r="B25" s="13"/>
    </row>
    <row r="26" spans="1:8">
      <c r="A26" s="7" t="s">
        <v>202</v>
      </c>
      <c r="B26" s="13"/>
    </row>
    <row r="29" spans="1:8">
      <c r="A29" s="19" t="s">
        <v>203</v>
      </c>
      <c r="B29" s="19"/>
      <c r="C29" s="19"/>
      <c r="D29" s="19"/>
      <c r="E29" s="19"/>
      <c r="F29" s="19"/>
      <c r="G29" s="19"/>
      <c r="H29" s="19"/>
    </row>
    <row r="30" spans="1:8">
      <c r="A30" s="6" t="s">
        <v>204</v>
      </c>
      <c r="B30" s="6" t="s">
        <v>85</v>
      </c>
      <c r="C30" s="6" t="s">
        <v>205</v>
      </c>
      <c r="D30" s="6" t="s">
        <v>76</v>
      </c>
    </row>
    <row r="31" spans="1:8">
      <c r="A31" s="7" t="s">
        <v>206</v>
      </c>
      <c r="B31" s="7"/>
      <c r="C31" s="7"/>
      <c r="D31" s="7"/>
    </row>
    <row r="32" spans="1:8">
      <c r="A32" s="7" t="s">
        <v>207</v>
      </c>
      <c r="B32" s="7"/>
      <c r="C32" s="7"/>
      <c r="D32" s="7"/>
    </row>
    <row r="33" spans="1:4">
      <c r="A33" s="7" t="s">
        <v>208</v>
      </c>
      <c r="B33" s="7"/>
      <c r="C33" s="7"/>
      <c r="D33" s="7"/>
    </row>
    <row r="34" spans="1:4">
      <c r="A34" s="7" t="s">
        <v>209</v>
      </c>
      <c r="B34" s="7"/>
      <c r="C34" s="7"/>
      <c r="D34" s="7"/>
    </row>
  </sheetData>
  <mergeCells count="6">
    <mergeCell ref="A29:H29"/>
    <mergeCell ref="A1:H2"/>
    <mergeCell ref="A4:H4"/>
    <mergeCell ref="A5:H9"/>
    <mergeCell ref="A11:H11"/>
    <mergeCell ref="A19: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1. Portada</vt:lpstr>
      <vt:lpstr>2. Caso empresarial</vt:lpstr>
      <vt:lpstr>3. Documento 1 - FCFF</vt:lpstr>
      <vt:lpstr>4. Documento 2 - Balance</vt:lpstr>
      <vt:lpstr>5. Documento 3 - WACC</vt:lpstr>
      <vt:lpstr>6. Paso 1 - Capital Invertido</vt:lpstr>
      <vt:lpstr>7. Paso 2 - Cargo por Capital</vt:lpstr>
      <vt:lpstr>8. Paso 3 - Flujo Residual</vt:lpstr>
      <vt:lpstr>9. Análisis de escenarios</vt:lpstr>
      <vt:lpstr>10. Interpretación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Oyaque Mora Silvia Melinda</cp:lastModifiedBy>
  <dcterms:created xsi:type="dcterms:W3CDTF">2026-07-20T17:05:19Z</dcterms:created>
  <dcterms:modified xsi:type="dcterms:W3CDTF">2026-07-20T17:05:19Z</dcterms:modified>
</cp:coreProperties>
</file>