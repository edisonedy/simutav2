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JULIO A DICIEMBRE 2026\VALORACIÓN DE EMPRESAS\"/>
    </mc:Choice>
  </mc:AlternateContent>
  <xr:revisionPtr revIDLastSave="0" documentId="8_{93CBF343-AC85-40CA-A074-BDD7A092DE42}" xr6:coauthVersionLast="47" xr6:coauthVersionMax="47" xr10:uidLastSave="{00000000-0000-0000-0000-000000000000}"/>
  <bookViews>
    <workbookView xWindow="-110" yWindow="-110" windowWidth="19420" windowHeight="11500" firstSheet="6" activeTab="9" xr2:uid="{00000000-000D-0000-FFFF-FFFF00000000}"/>
  </bookViews>
  <sheets>
    <sheet name="1. Portada" sheetId="1" r:id="rId1"/>
    <sheet name="2. Caso empresarial" sheetId="2" r:id="rId2"/>
    <sheet name="3. Paso 1 - Estado Resultados" sheetId="3" r:id="rId3"/>
    <sheet name="4. Paso 2 - Identificar EBIT" sheetId="4" r:id="rId4"/>
    <sheet name="5. Paso 3 - NOPAT" sheetId="5" r:id="rId5"/>
    <sheet name="6. Paso 4 - Dep y Amort" sheetId="6" r:id="rId6"/>
    <sheet name="7. Paso 5 - CAPEX" sheetId="7" r:id="rId7"/>
    <sheet name="8. Paso 6 - Capital Trabajo" sheetId="8" r:id="rId8"/>
    <sheet name="9. Paso 7 - FCFF" sheetId="9" r:id="rId9"/>
    <sheet name="10. Paso 8 - Interpretación" sheetId="10" r:id="rId10"/>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9" l="1"/>
  <c r="F18" i="9"/>
  <c r="F17" i="9"/>
  <c r="F16" i="9"/>
  <c r="F15" i="9"/>
  <c r="F14" i="9"/>
  <c r="F24" i="8"/>
  <c r="F23" i="8"/>
  <c r="F22" i="8"/>
  <c r="F21" i="8"/>
  <c r="E23" i="7"/>
  <c r="E22" i="7"/>
  <c r="E21" i="7"/>
  <c r="E20" i="7"/>
  <c r="E24" i="6"/>
  <c r="E23" i="6"/>
  <c r="E22" i="6"/>
  <c r="F17" i="6"/>
  <c r="F16" i="6"/>
  <c r="F15" i="6"/>
  <c r="F14" i="6"/>
  <c r="F13" i="6"/>
  <c r="F22" i="5"/>
  <c r="F21" i="5"/>
  <c r="F20" i="5"/>
  <c r="E25" i="4"/>
  <c r="E24" i="4"/>
  <c r="E19" i="4"/>
  <c r="E18" i="4"/>
  <c r="E17" i="4"/>
  <c r="E16" i="4"/>
  <c r="E15" i="4"/>
  <c r="E14" i="4"/>
  <c r="E13" i="4"/>
  <c r="E12" i="4"/>
  <c r="E25" i="3"/>
  <c r="E24" i="3"/>
  <c r="E23" i="3"/>
</calcChain>
</file>

<file path=xl/sharedStrings.xml><?xml version="1.0" encoding="utf-8"?>
<sst xmlns="http://schemas.openxmlformats.org/spreadsheetml/2006/main" count="282" uniqueCount="206">
  <si>
    <t>UNIDAD 4 · FLUJO DE CAJA LIBRE DE LA EMPRESA (FCFF)</t>
  </si>
  <si>
    <t>CASO INTEGRADOR: INDUSTRIA TUNGURAHUA S.A.</t>
  </si>
  <si>
    <t>Workbook profesional para que el estudiante construya el FCFF siguiendo los ocho pasos: Estado de Resultados, EBIT, NOPAT, depreciaciones y amortizaciones, CAPEX, capital de trabajo, FCFF e interpretación.</t>
  </si>
  <si>
    <t>DATOS DEL ESTUDIANTE</t>
  </si>
  <si>
    <t>Nombres y apellidos</t>
  </si>
  <si>
    <t>Curso</t>
  </si>
  <si>
    <t>Paralelo</t>
  </si>
  <si>
    <t>Docente</t>
  </si>
  <si>
    <t>Fecha</t>
  </si>
  <si>
    <t>RUTA DE APRENDIZAJE</t>
  </si>
  <si>
    <t>Paso 1</t>
  </si>
  <si>
    <t>Obtener el Estado de Resultados</t>
  </si>
  <si>
    <t>Paso 2</t>
  </si>
  <si>
    <t>Identificar el EBIT</t>
  </si>
  <si>
    <t>Paso 3</t>
  </si>
  <si>
    <t>Aplicar impuestos y calcular NOPAT</t>
  </si>
  <si>
    <t>Paso 4</t>
  </si>
  <si>
    <t>Sumar depreciaciones y amortizaciones</t>
  </si>
  <si>
    <t>Paso 5</t>
  </si>
  <si>
    <t>Determinar CAPEX</t>
  </si>
  <si>
    <t>Paso 6</t>
  </si>
  <si>
    <t>Calcular variación del capital de trabajo</t>
  </si>
  <si>
    <t>Paso 7</t>
  </si>
  <si>
    <t>Aplicar la fórmula del FCFF</t>
  </si>
  <si>
    <t>Paso 8</t>
  </si>
  <si>
    <t>Interpretar el resultado</t>
  </si>
  <si>
    <t>CASO EMPRESARIAL Y DOCUMENTOS DE RESPALDO</t>
  </si>
  <si>
    <t>CONTEXTO DEL CASO</t>
  </si>
  <si>
    <t>Industria Tungurahua S.A. fabrica mobiliario metálico. Un grupo de inversionistas desea conocer cuánto efectivo genera realmente la empresa, más allá de su utilidad contable. El equipo de analistas debe construir el FCFF utilizando información entregada por Contabilidad, Tributación, Activos Fijos y Finanzas.</t>
  </si>
  <si>
    <t>OBJETIVO</t>
  </si>
  <si>
    <t>Construir el Flujo de Caja Libre mediante un proceso técnico y documentado, justificando el origen de cada dato y explicando su efecto sobre el efectivo disponible.</t>
  </si>
  <si>
    <t>DOCUMENTOS DISPONIBLES</t>
  </si>
  <si>
    <t>Documento</t>
  </si>
  <si>
    <t>Contenido</t>
  </si>
  <si>
    <t>Uso</t>
  </si>
  <si>
    <t>Documento 1</t>
  </si>
  <si>
    <t>Estado de Resultados</t>
  </si>
  <si>
    <t>Identificar el EBIT.</t>
  </si>
  <si>
    <t>Documento 2</t>
  </si>
  <si>
    <t>Informe Tributario</t>
  </si>
  <si>
    <t>Obtener la tasa del impuesto.</t>
  </si>
  <si>
    <t>Documento 3</t>
  </si>
  <si>
    <t>Memorando de Activos Fijos</t>
  </si>
  <si>
    <t>Determinar el CAPEX.</t>
  </si>
  <si>
    <t>Documento 4</t>
  </si>
  <si>
    <t>Informe de Capital de Trabajo</t>
  </si>
  <si>
    <t>Calcular la variación operativa.</t>
  </si>
  <si>
    <t>INSTRUCCIONES</t>
  </si>
  <si>
    <t>1. Lea cada documento antes de calcular.
2. Revise el recordatorio teórico y la fórmula en texto.
3. Complete únicamente las celdas amarillas.
4. Escriba la operación utilizada, no solo el resultado.
5. Revise la retroalimentación automática.
6. Finalice con una interpretación financiera.</t>
  </si>
  <si>
    <t>PASO 1 · OBTENER EL ESTADO DE RESULTADOS</t>
  </si>
  <si>
    <t>📘 RECORDATORIO TEÓRICO</t>
  </si>
  <si>
    <t>El Estado de Resultados muestra el desempeño económico. Para el FCFF se utiliza el EBIT, que representa la utilidad operativa antes de intereses e impuestos.
FÓRMULA EN TEXTO:
EBIT = Ventas netas − Costo de ventas − Gastos operativos</t>
  </si>
  <si>
    <t>ESTADO DE RESULTADOS 2025</t>
  </si>
  <si>
    <t>Concepto</t>
  </si>
  <si>
    <t>Operación</t>
  </si>
  <si>
    <t>Valor (USD)</t>
  </si>
  <si>
    <t>¿Forma parte del EBIT?</t>
  </si>
  <si>
    <t>Ventas netas</t>
  </si>
  <si>
    <t>Sí</t>
  </si>
  <si>
    <t>(-) Costo de ventas</t>
  </si>
  <si>
    <t>(-) Gastos administrativos</t>
  </si>
  <si>
    <t>(-) Gastos de ventas</t>
  </si>
  <si>
    <t>(-) Depreciaciones</t>
  </si>
  <si>
    <t>(-) Amortizaciones</t>
  </si>
  <si>
    <t>Utilidad Operativa (EBIT)</t>
  </si>
  <si>
    <t>Ventas − costos y gastos operativos</t>
  </si>
  <si>
    <t>Resultado</t>
  </si>
  <si>
    <t>ACTIVIDAD DEL ESTUDIANTE</t>
  </si>
  <si>
    <t>Pregunta</t>
  </si>
  <si>
    <t>Respuesta</t>
  </si>
  <si>
    <t>Resultado técnico</t>
  </si>
  <si>
    <t>Estado</t>
  </si>
  <si>
    <t>Identifique el EBIT</t>
  </si>
  <si>
    <t>¿Incluye intereses?</t>
  </si>
  <si>
    <t>No</t>
  </si>
  <si>
    <t>¿Incluye impuesto a la renta?</t>
  </si>
  <si>
    <t>💡 CONSEJO DEL ANALISTA</t>
  </si>
  <si>
    <t>El EBIT incluye depreciaciones y amortizaciones porque son gastos operativos. No incluye intereses ni impuesto a la renta.</t>
  </si>
  <si>
    <t>PASO 2 · IDENTIFICAR EL EBIT</t>
  </si>
  <si>
    <t>📐 FÓRMULA EN TEXTO</t>
  </si>
  <si>
    <t>EBIT = Ventas netas − Costo de ventas − Gastos administrativos − Gastos de ventas − Depreciaciones − Amortizaciones
El EBIT mide el resultado operativo y excluye decisiones de financiamiento.</t>
  </si>
  <si>
    <t>CLASIFICACIÓN DE CUENTAS</t>
  </si>
  <si>
    <t>Cuenta</t>
  </si>
  <si>
    <t>¿Pertenece al EBIT?</t>
  </si>
  <si>
    <t>Criterio técnico</t>
  </si>
  <si>
    <t>Costo de ventas</t>
  </si>
  <si>
    <t>Gastos administrativos</t>
  </si>
  <si>
    <t>Gastos de ventas</t>
  </si>
  <si>
    <t>Depreciaciones</t>
  </si>
  <si>
    <t>Amortizaciones</t>
  </si>
  <si>
    <t>Gastos financieros</t>
  </si>
  <si>
    <t>Impuesto a la renta</t>
  </si>
  <si>
    <t>CÁLCULO DEL EBIT</t>
  </si>
  <si>
    <t>EBIT</t>
  </si>
  <si>
    <t>Justificación</t>
  </si>
  <si>
    <t>La utilidad operativa excluye intereses e impuestos.</t>
  </si>
  <si>
    <t>PASO 3 · APLICAR IMPUESTOS Y OBTENER EL NOPAT</t>
  </si>
  <si>
    <t>📘 RECORDATORIO Y FÓRMULA</t>
  </si>
  <si>
    <t>NOPAT representa la utilidad operativa después de impuestos. Se calcula sobre el EBIT porque el FCFF elimina el efecto del financiamiento.
FÓRMULA EN TEXTO:
NOPAT = EBIT × (1 − T)</t>
  </si>
  <si>
    <t>INFORME TRIBUTARIO</t>
  </si>
  <si>
    <t>Dato</t>
  </si>
  <si>
    <t>Fuente del caso</t>
  </si>
  <si>
    <t>Tasa efectiva del impuesto</t>
  </si>
  <si>
    <t>Impuesto operativo</t>
  </si>
  <si>
    <t>EBIT × T</t>
  </si>
  <si>
    <t>Paso</t>
  </si>
  <si>
    <t>NOPAT</t>
  </si>
  <si>
    <t>Se aplica la tasa sobre el EBIT y no sobre la utilidad neta.</t>
  </si>
  <si>
    <t>PASO 4 · SUMAR DEPRECIACIONES Y AMORTIZACIONES</t>
  </si>
  <si>
    <t>Las depreciaciones y amortizaciones reducen la utilidad contable, pero no representan salida real de efectivo. Por ello se vuelven a sumar.
FÓRMULA EN TEXTO:
Ajuste sin salida de efectivo = Depreciaciones + Amortizaciones</t>
  </si>
  <si>
    <t>INFORME CONTABLE</t>
  </si>
  <si>
    <t>Partida</t>
  </si>
  <si>
    <t>¿Se suma nuevamente?</t>
  </si>
  <si>
    <t>Depreciación de maquinaria</t>
  </si>
  <si>
    <t>Depreciación de edificios</t>
  </si>
  <si>
    <t>Amortización de software</t>
  </si>
  <si>
    <t>Gasto de energía eléctrica</t>
  </si>
  <si>
    <t>Sueldos administrativos</t>
  </si>
  <si>
    <t>CÁLCULO</t>
  </si>
  <si>
    <t>Depreciaciones totales</t>
  </si>
  <si>
    <t>Amortizaciones totales</t>
  </si>
  <si>
    <t>Total que vuelve a sumarse</t>
  </si>
  <si>
    <t>PASO 5 · DETERMINAR LAS INVERSIONES EN ACTIVOS (CAPEX)</t>
  </si>
  <si>
    <t>CAPEX representa las inversiones en activos de largo plazo destinadas a mantener o ampliar la capacidad operativa.
FÓRMULA EN TEXTO:
CAPEX = Σ Inversiones en activos de largo plazo
Los gastos operativos no forman parte del CAPEX.</t>
  </si>
  <si>
    <t>MEMORANDO DEL DEPARTAMENTO DE ACTIVOS FIJOS</t>
  </si>
  <si>
    <t>Proyecto</t>
  </si>
  <si>
    <t>Justificación financiera</t>
  </si>
  <si>
    <t>¿Es CAPEX?</t>
  </si>
  <si>
    <t>Justificación del estudiante</t>
  </si>
  <si>
    <t>Línea automatizada de producción</t>
  </si>
  <si>
    <t>Incrementar capacidad y reducir tiempos.</t>
  </si>
  <si>
    <t>Modernización de maquinaria CNC</t>
  </si>
  <si>
    <t>Mejorar precisión y reducir desperdicios.</t>
  </si>
  <si>
    <t>Software ERP de producción</t>
  </si>
  <si>
    <t>Integrar producción, inventarios y calidad.</t>
  </si>
  <si>
    <t>CÁLCULO DEL CAPEX</t>
  </si>
  <si>
    <t>Línea automatizada</t>
  </si>
  <si>
    <t>Modernización CNC</t>
  </si>
  <si>
    <t>Software ERP</t>
  </si>
  <si>
    <t>CAPEX total</t>
  </si>
  <si>
    <t>ANÁLISIS</t>
  </si>
  <si>
    <t>Respuesta del estudiante</t>
  </si>
  <si>
    <t>Orientación</t>
  </si>
  <si>
    <t>¿Por qué el CAPEX se resta del FCFF?</t>
  </si>
  <si>
    <t>Porque representa una salida real de efectivo.</t>
  </si>
  <si>
    <t>¿Puede un CAPEX alto ser positivo para la empresa?</t>
  </si>
  <si>
    <t>Sí, si genera flujos y crecimiento futuros.</t>
  </si>
  <si>
    <t>PASO 6 · CALCULAR LA VARIACIÓN DEL CAPITAL DE TRABAJO</t>
  </si>
  <si>
    <t>El capital de trabajo operativo financia las operaciones diarias.
FÓRMULA EN TEXTO:
ΔCT = Δ Cuentas por cobrar + Δ Inventarios − Δ Proveedores
Si ΔCT es positivo, consume efectivo y se resta del FCFF. Si es negativo, libera efectivo.</t>
  </si>
  <si>
    <t>INFORME DE CAPITAL DE TRABAJO</t>
  </si>
  <si>
    <t>Cuenta operativa</t>
  </si>
  <si>
    <t>2024 (USD)</t>
  </si>
  <si>
    <t>2025 (USD)</t>
  </si>
  <si>
    <t>Variación</t>
  </si>
  <si>
    <t>Signo en ΔCT</t>
  </si>
  <si>
    <t>Interpretación</t>
  </si>
  <si>
    <t>Cuentas por cobrar</t>
  </si>
  <si>
    <t>+</t>
  </si>
  <si>
    <t>Inventarios</t>
  </si>
  <si>
    <t>Proveedores</t>
  </si>
  <si>
    <t>−</t>
  </si>
  <si>
    <t>Δ Cuentas por cobrar</t>
  </si>
  <si>
    <t>Δ Inventarios</t>
  </si>
  <si>
    <t>Δ Proveedores</t>
  </si>
  <si>
    <t>Δ Capital de Trabajo</t>
  </si>
  <si>
    <t>INTERPRETACIÓN</t>
  </si>
  <si>
    <t>¿El resultado consume o libera efectivo?</t>
  </si>
  <si>
    <t>Consume efectivo porque ΔCT es positivo.</t>
  </si>
  <si>
    <t>¿Qué ocurriría si disminuyen las cuentas por cobrar?</t>
  </si>
  <si>
    <t>Se liberaría efectivo y el FCFF aumentaría.</t>
  </si>
  <si>
    <t>PASO 7 · CONSTRUIR EL FLUJO DE CAJA LIBRE (FCFF)</t>
  </si>
  <si>
    <t>📘 RECORDATORIO Y FÓRMULA COMPLETA</t>
  </si>
  <si>
    <t>El FCFF representa el efectivo disponible para acreedores y accionistas después de cubrir impuestos operativos, inversiones y necesidades de capital de trabajo.
FÓRMULA EN TEXTO:
FCFF = NOPAT + Depreciaciones + Amortizaciones − CAPEX − Δ Capital de Trabajo</t>
  </si>
  <si>
    <t>ROMPECABEZAS FINANCIERO</t>
  </si>
  <si>
    <t>Orden</t>
  </si>
  <si>
    <t>Componente</t>
  </si>
  <si>
    <t>Signo</t>
  </si>
  <si>
    <t>CAPEX</t>
  </si>
  <si>
    <t>FCFF</t>
  </si>
  <si>
    <t>=</t>
  </si>
  <si>
    <t>OPERACIÓN COMPLETA</t>
  </si>
  <si>
    <t>Elemento</t>
  </si>
  <si>
    <t>Operación completa</t>
  </si>
  <si>
    <t>Comprobación</t>
  </si>
  <si>
    <t>PASO 8 · INTERPRETAR EL RESULTADO</t>
  </si>
  <si>
    <t>📘 RECORDATORIO</t>
  </si>
  <si>
    <t>Un FCFF positivo indica que la empresa genera efectivo después de cubrir operaciones e inversiones. Su interpretación debe considerar si las inversiones son de mantenimiento o crecimiento y si el flujo es sostenible.</t>
  </si>
  <si>
    <t>RESULTADO DEL CASO</t>
  </si>
  <si>
    <t>Lectura financiera</t>
  </si>
  <si>
    <t>Utilidad operativa después de impuestos.</t>
  </si>
  <si>
    <t>Inversión ejecutada para modernizar la empresa.</t>
  </si>
  <si>
    <t>Efectivo disponible para acreedores y accionistas.</t>
  </si>
  <si>
    <t>PREGUNTAS DE ANÁLISIS</t>
  </si>
  <si>
    <t>¿Qué significa que el FCFF sea positivo?</t>
  </si>
  <si>
    <t>¿La empresa puede cubrir sus inversiones y todavía generar efectivo?</t>
  </si>
  <si>
    <t>¿Qué efecto tendría un aumento adicional del CAPEX?</t>
  </si>
  <si>
    <t>¿Qué ocurriría si disminuyeran las cuentas por cobrar?</t>
  </si>
  <si>
    <t>¿Por qué el FCFF puede ser más útil que la utilidad neta?</t>
  </si>
  <si>
    <t>Conclusión para un inversionista</t>
  </si>
  <si>
    <t>AUTOEVALUACIÓN</t>
  </si>
  <si>
    <t>Criterio</t>
  </si>
  <si>
    <t>En proceso</t>
  </si>
  <si>
    <t>Identifiqué correctamente el EBIT</t>
  </si>
  <si>
    <t>Comprendí la lógica del NOPAT</t>
  </si>
  <si>
    <t>Diferencié gastos sin salida de efectivo y CAPEX</t>
  </si>
  <si>
    <t>Puedo explicar el efecto del capital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</si>
</sst>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7">
    <font>
      <sz val="11"/>
      <name val="Carlito"/>
    </font>
    <font>
      <b/>
      <sz val="16"/>
      <color rgb="FFFFFFFF"/>
      <name val="Carlito"/>
    </font>
    <font>
      <b/>
      <sz val="18"/>
      <color rgb="FF173B5F"/>
      <name val="Carlito"/>
    </font>
    <font>
      <b/>
      <sz val="11"/>
      <color rgb="FFFFFFFF"/>
      <name val="Carlito"/>
    </font>
    <font>
      <b/>
      <sz val="11"/>
      <color rgb="FF173B5F"/>
      <name val="Carlito"/>
    </font>
    <font>
      <sz val="11"/>
      <color rgb="FF0000FF"/>
      <name val="Carlito"/>
    </font>
    <font>
      <sz val="11"/>
      <color rgb="FF173B5F"/>
      <name val="Carlito"/>
    </font>
  </fonts>
  <fills count="10">
    <fill>
      <patternFill patternType="none"/>
    </fill>
    <fill>
      <patternFill patternType="gray125"/>
    </fill>
    <fill>
      <patternFill patternType="solid">
        <fgColor rgb="FF173B5F"/>
      </patternFill>
    </fill>
    <fill>
      <patternFill patternType="solid">
        <fgColor rgb="FFD9EAF7"/>
      </patternFill>
    </fill>
    <fill>
      <patternFill patternType="solid">
        <fgColor rgb="FFEEF5FA"/>
      </patternFill>
    </fill>
    <fill>
      <patternFill patternType="solid">
        <fgColor rgb="FFFFF2CC"/>
      </patternFill>
    </fill>
    <fill>
      <patternFill patternType="solid">
        <fgColor rgb="FFEEE7FF"/>
      </patternFill>
    </fill>
    <fill>
      <patternFill patternType="solid">
        <fgColor rgb="FF2F6F9F"/>
      </patternFill>
    </fill>
    <fill>
      <patternFill patternType="solid">
        <fgColor rgb="FFE2F0D9"/>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3" fillId="2" borderId="0" xfId="0" applyNumberFormat="1" applyFont="1" applyFill="1" applyBorder="1"/>
    <xf numFmtId="0" fontId="4" fillId="3" borderId="0" xfId="0" applyNumberFormat="1" applyFont="1" applyFill="1" applyBorder="1"/>
    <xf numFmtId="0" fontId="5" fillId="5" borderId="0" xfId="0" applyNumberFormat="1" applyFont="1" applyFill="1" applyBorder="1"/>
    <xf numFmtId="0" fontId="4" fillId="6" borderId="0" xfId="0" applyNumberFormat="1" applyFont="1" applyFill="1" applyBorder="1"/>
    <xf numFmtId="0" fontId="0" fillId="0" borderId="0" xfId="0" applyNumberFormat="1" applyFont="1" applyFill="1" applyBorder="1" applyAlignment="1">
      <alignment wrapText="1"/>
    </xf>
    <xf numFmtId="0" fontId="3" fillId="7"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164" fontId="3" fillId="2" borderId="0" xfId="0" applyNumberFormat="1" applyFont="1" applyFill="1" applyBorder="1"/>
    <xf numFmtId="164" fontId="5" fillId="5" borderId="0" xfId="0" applyNumberFormat="1" applyFont="1" applyFill="1" applyBorder="1"/>
    <xf numFmtId="10" fontId="0" fillId="0" borderId="0" xfId="0" applyNumberFormat="1" applyFont="1" applyFill="1" applyBorder="1"/>
    <xf numFmtId="0" fontId="5" fillId="5" borderId="0" xfId="0" applyNumberFormat="1" applyFont="1" applyFill="1" applyBorder="1" applyAlignment="1">
      <alignment wrapText="1"/>
    </xf>
    <xf numFmtId="0" fontId="4" fillId="8" borderId="0" xfId="0" applyNumberFormat="1" applyFont="1" applyFill="1" applyBorder="1"/>
    <xf numFmtId="164" fontId="4" fillId="8" borderId="0" xfId="0" applyNumberFormat="1" applyFont="1" applyFill="1" applyBorder="1"/>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0" fillId="4"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xf>
    <xf numFmtId="0" fontId="4" fillId="6" borderId="0" xfId="0" applyNumberFormat="1" applyFont="1" applyFill="1" applyBorder="1"/>
    <xf numFmtId="0" fontId="6" fillId="4" borderId="0" xfId="0" applyNumberFormat="1" applyFont="1" applyFill="1" applyBorder="1" applyAlignment="1">
      <alignment vertical="top" wrapText="1"/>
    </xf>
    <xf numFmtId="0" fontId="0" fillId="3" borderId="0" xfId="0" applyNumberFormat="1" applyFont="1" applyFill="1" applyBorder="1" applyAlignment="1">
      <alignment vertical="top" wrapText="1"/>
    </xf>
    <xf numFmtId="0" fontId="0" fillId="4" borderId="0" xfId="0" applyNumberFormat="1" applyFont="1" applyFill="1" applyBorder="1" applyAlignment="1">
      <alignment vertical="top" wrapText="1"/>
    </xf>
    <xf numFmtId="164" fontId="0" fillId="9" borderId="0" xfId="0" applyNumberFormat="1" applyFont="1" applyFill="1" applyBorder="1"/>
    <xf numFmtId="0" fontId="0" fillId="9"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heetViews>
  <sheetFormatPr baseColWidth="10" defaultColWidth="8.6640625" defaultRowHeight="14"/>
  <cols>
    <col min="1" max="1" width="28" customWidth="1"/>
    <col min="2" max="2" width="68" customWidth="1"/>
    <col min="3" max="8" width="14" customWidth="1"/>
  </cols>
  <sheetData>
    <row r="1" spans="1:8">
      <c r="A1" s="15" t="s">
        <v>0</v>
      </c>
      <c r="B1" s="15"/>
      <c r="C1" s="15"/>
      <c r="D1" s="15"/>
      <c r="E1" s="15"/>
      <c r="F1" s="15"/>
      <c r="G1" s="15"/>
      <c r="H1" s="15"/>
    </row>
    <row r="2" spans="1:8">
      <c r="A2" s="15"/>
      <c r="B2" s="15"/>
      <c r="C2" s="15"/>
      <c r="D2" s="15"/>
      <c r="E2" s="15"/>
      <c r="F2" s="15"/>
      <c r="G2" s="15"/>
      <c r="H2" s="15"/>
    </row>
    <row r="4" spans="1:8">
      <c r="A4" s="16" t="s">
        <v>1</v>
      </c>
      <c r="B4" s="16"/>
      <c r="C4" s="16"/>
      <c r="D4" s="16"/>
      <c r="E4" s="16"/>
      <c r="F4" s="16"/>
      <c r="G4" s="16"/>
      <c r="H4" s="16"/>
    </row>
    <row r="5" spans="1:8">
      <c r="A5" s="16"/>
      <c r="B5" s="16"/>
      <c r="C5" s="16"/>
      <c r="D5" s="16"/>
      <c r="E5" s="16"/>
      <c r="F5" s="16"/>
      <c r="G5" s="16"/>
      <c r="H5" s="16"/>
    </row>
    <row r="6" spans="1:8">
      <c r="A6" s="16"/>
      <c r="B6" s="16"/>
      <c r="C6" s="16"/>
      <c r="D6" s="16"/>
      <c r="E6" s="16"/>
      <c r="F6" s="16"/>
      <c r="G6" s="16"/>
      <c r="H6" s="16"/>
    </row>
    <row r="8" spans="1:8">
      <c r="A8" s="17" t="s">
        <v>2</v>
      </c>
      <c r="B8" s="17"/>
      <c r="C8" s="17"/>
      <c r="D8" s="17"/>
      <c r="E8" s="17"/>
      <c r="F8" s="17"/>
      <c r="G8" s="17"/>
      <c r="H8" s="17"/>
    </row>
    <row r="9" spans="1:8">
      <c r="A9" s="17"/>
      <c r="B9" s="17"/>
      <c r="C9" s="17"/>
      <c r="D9" s="17"/>
      <c r="E9" s="17"/>
      <c r="F9" s="17"/>
      <c r="G9" s="17"/>
      <c r="H9" s="17"/>
    </row>
    <row r="10" spans="1:8">
      <c r="A10" s="17"/>
      <c r="B10" s="17"/>
      <c r="C10" s="17"/>
      <c r="D10" s="17"/>
      <c r="E10" s="17"/>
      <c r="F10" s="17"/>
      <c r="G10" s="17"/>
      <c r="H10" s="17"/>
    </row>
    <row r="11" spans="1:8">
      <c r="A11" s="17"/>
      <c r="B11" s="17"/>
      <c r="C11" s="17"/>
      <c r="D11" s="17"/>
      <c r="E11" s="17"/>
      <c r="F11" s="17"/>
      <c r="G11" s="17"/>
      <c r="H11" s="17"/>
    </row>
    <row r="14" spans="1:8">
      <c r="A14" s="1" t="s">
        <v>3</v>
      </c>
      <c r="B14" s="1"/>
    </row>
    <row r="15" spans="1:8">
      <c r="A15" s="2" t="s">
        <v>4</v>
      </c>
      <c r="B15" s="3"/>
    </row>
    <row r="16" spans="1:8">
      <c r="A16" s="2" t="s">
        <v>5</v>
      </c>
      <c r="B16" s="3"/>
    </row>
    <row r="17" spans="1:8">
      <c r="A17" s="2" t="s">
        <v>6</v>
      </c>
      <c r="B17" s="3"/>
    </row>
    <row r="18" spans="1:8">
      <c r="A18" s="2" t="s">
        <v>7</v>
      </c>
      <c r="B18" s="3"/>
    </row>
    <row r="19" spans="1:8">
      <c r="A19" s="2" t="s">
        <v>8</v>
      </c>
      <c r="B19" s="3"/>
    </row>
    <row r="22" spans="1:8">
      <c r="A22" s="18" t="s">
        <v>9</v>
      </c>
      <c r="B22" s="18"/>
      <c r="C22" s="18"/>
      <c r="D22" s="18"/>
      <c r="E22" s="18"/>
      <c r="F22" s="18"/>
      <c r="G22" s="18"/>
      <c r="H22" s="18"/>
    </row>
    <row r="23" spans="1:8">
      <c r="A23" s="4" t="s">
        <v>10</v>
      </c>
      <c r="B23" s="5" t="s">
        <v>11</v>
      </c>
    </row>
    <row r="24" spans="1:8">
      <c r="A24" s="4" t="s">
        <v>12</v>
      </c>
      <c r="B24" s="5" t="s">
        <v>13</v>
      </c>
    </row>
    <row r="25" spans="1:8">
      <c r="A25" s="4" t="s">
        <v>14</v>
      </c>
      <c r="B25" s="5" t="s">
        <v>15</v>
      </c>
    </row>
    <row r="26" spans="1:8">
      <c r="A26" s="4" t="s">
        <v>16</v>
      </c>
      <c r="B26" s="5" t="s">
        <v>17</v>
      </c>
    </row>
    <row r="27" spans="1:8">
      <c r="A27" s="4" t="s">
        <v>18</v>
      </c>
      <c r="B27" s="5" t="s">
        <v>19</v>
      </c>
    </row>
    <row r="28" spans="1:8">
      <c r="A28" s="4" t="s">
        <v>20</v>
      </c>
      <c r="B28" s="5" t="s">
        <v>21</v>
      </c>
    </row>
    <row r="29" spans="1:8">
      <c r="A29" s="4" t="s">
        <v>22</v>
      </c>
      <c r="B29" s="5" t="s">
        <v>23</v>
      </c>
    </row>
    <row r="30" spans="1:8">
      <c r="A30" s="4" t="s">
        <v>24</v>
      </c>
      <c r="B30" s="5" t="s">
        <v>25</v>
      </c>
    </row>
  </sheetData>
  <mergeCells count="4">
    <mergeCell ref="A1:H2"/>
    <mergeCell ref="A4:H6"/>
    <mergeCell ref="A8:H11"/>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workbookViewId="0"/>
  </sheetViews>
  <sheetFormatPr baseColWidth="10" defaultColWidth="8.6640625" defaultRowHeight="14"/>
  <cols>
    <col min="1" max="1" width="28" customWidth="1"/>
    <col min="2" max="2" width="34" customWidth="1"/>
    <col min="3" max="3" width="70" customWidth="1"/>
    <col min="4" max="8" width="14" customWidth="1"/>
  </cols>
  <sheetData>
    <row r="1" spans="1:8">
      <c r="A1" s="15" t="s">
        <v>26</v>
      </c>
      <c r="B1" s="15"/>
      <c r="C1" s="15"/>
      <c r="D1" s="15"/>
      <c r="E1" s="15"/>
      <c r="F1" s="15"/>
      <c r="G1" s="15"/>
      <c r="H1" s="15"/>
    </row>
    <row r="2" spans="1:8">
      <c r="A2" s="15"/>
      <c r="B2" s="15"/>
      <c r="C2" s="15"/>
      <c r="D2" s="15"/>
      <c r="E2" s="15"/>
      <c r="F2" s="15"/>
      <c r="G2" s="15"/>
      <c r="H2" s="15"/>
    </row>
    <row r="4" spans="1:8">
      <c r="A4" s="19" t="s">
        <v>27</v>
      </c>
      <c r="B4" s="19"/>
      <c r="C4" s="19"/>
      <c r="D4" s="19"/>
      <c r="E4" s="19"/>
      <c r="F4" s="19"/>
      <c r="G4" s="19"/>
      <c r="H4" s="19"/>
    </row>
    <row r="5" spans="1:8">
      <c r="A5" s="20" t="s">
        <v>28</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10" spans="1:8">
      <c r="A10" s="18" t="s">
        <v>29</v>
      </c>
      <c r="B10" s="18"/>
      <c r="C10" s="18"/>
      <c r="D10" s="18"/>
      <c r="E10" s="18"/>
      <c r="F10" s="18"/>
      <c r="G10" s="18"/>
      <c r="H10" s="18"/>
    </row>
    <row r="11" spans="1:8">
      <c r="A11" s="21" t="s">
        <v>30</v>
      </c>
      <c r="B11" s="21"/>
      <c r="C11" s="21"/>
      <c r="D11" s="21"/>
      <c r="E11" s="21"/>
      <c r="F11" s="21"/>
      <c r="G11" s="21"/>
      <c r="H11" s="21"/>
    </row>
    <row r="12" spans="1:8">
      <c r="A12" s="21"/>
      <c r="B12" s="21"/>
      <c r="C12" s="21"/>
      <c r="D12" s="21"/>
      <c r="E12" s="21"/>
      <c r="F12" s="21"/>
      <c r="G12" s="21"/>
      <c r="H12" s="21"/>
    </row>
    <row r="13" spans="1:8">
      <c r="A13" s="21"/>
      <c r="B13" s="21"/>
      <c r="C13" s="21"/>
      <c r="D13" s="21"/>
      <c r="E13" s="21"/>
      <c r="F13" s="21"/>
      <c r="G13" s="21"/>
      <c r="H13" s="21"/>
    </row>
    <row r="14" spans="1:8">
      <c r="A14" s="21"/>
      <c r="B14" s="21"/>
      <c r="C14" s="21"/>
      <c r="D14" s="21"/>
      <c r="E14" s="21"/>
      <c r="F14" s="21"/>
      <c r="G14" s="21"/>
      <c r="H14" s="21"/>
    </row>
    <row r="16" spans="1:8">
      <c r="A16" s="18" t="s">
        <v>31</v>
      </c>
      <c r="B16" s="18"/>
      <c r="C16" s="18"/>
      <c r="D16" s="18"/>
      <c r="E16" s="18"/>
      <c r="F16" s="18"/>
      <c r="G16" s="18"/>
      <c r="H16" s="18"/>
    </row>
    <row r="17" spans="1:8">
      <c r="A17" s="6" t="s">
        <v>32</v>
      </c>
      <c r="B17" s="6" t="s">
        <v>33</v>
      </c>
      <c r="C17" s="6" t="s">
        <v>34</v>
      </c>
    </row>
    <row r="18" spans="1:8">
      <c r="A18" s="7" t="s">
        <v>35</v>
      </c>
      <c r="B18" s="7" t="s">
        <v>36</v>
      </c>
      <c r="C18" s="5" t="s">
        <v>37</v>
      </c>
    </row>
    <row r="19" spans="1:8">
      <c r="A19" s="7" t="s">
        <v>38</v>
      </c>
      <c r="B19" s="7" t="s">
        <v>39</v>
      </c>
      <c r="C19" s="5" t="s">
        <v>40</v>
      </c>
    </row>
    <row r="20" spans="1:8">
      <c r="A20" s="7" t="s">
        <v>41</v>
      </c>
      <c r="B20" s="7" t="s">
        <v>42</v>
      </c>
      <c r="C20" s="5" t="s">
        <v>43</v>
      </c>
    </row>
    <row r="21" spans="1:8">
      <c r="A21" s="7" t="s">
        <v>44</v>
      </c>
      <c r="B21" s="7" t="s">
        <v>45</v>
      </c>
      <c r="C21" s="5" t="s">
        <v>46</v>
      </c>
    </row>
    <row r="24" spans="1:8">
      <c r="A24" s="18" t="s">
        <v>47</v>
      </c>
      <c r="B24" s="18"/>
      <c r="C24" s="18"/>
      <c r="D24" s="18"/>
      <c r="E24" s="18"/>
      <c r="F24" s="18"/>
      <c r="G24" s="18"/>
      <c r="H24" s="18"/>
    </row>
    <row r="25" spans="1:8">
      <c r="A25" s="22" t="s">
        <v>48</v>
      </c>
      <c r="B25" s="22"/>
      <c r="C25" s="22"/>
      <c r="D25" s="22"/>
      <c r="E25" s="22"/>
      <c r="F25" s="22"/>
      <c r="G25" s="22"/>
      <c r="H25" s="22"/>
    </row>
    <row r="26" spans="1:8">
      <c r="A26" s="22"/>
      <c r="B26" s="22"/>
      <c r="C26" s="22"/>
      <c r="D26" s="22"/>
      <c r="E26" s="22"/>
      <c r="F26" s="22"/>
      <c r="G26" s="22"/>
      <c r="H26" s="22"/>
    </row>
    <row r="27" spans="1:8">
      <c r="A27" s="22"/>
      <c r="B27" s="22"/>
      <c r="C27" s="22"/>
      <c r="D27" s="22"/>
      <c r="E27" s="22"/>
      <c r="F27" s="22"/>
      <c r="G27" s="22"/>
      <c r="H27" s="22"/>
    </row>
    <row r="28" spans="1:8">
      <c r="A28" s="22"/>
      <c r="B28" s="22"/>
      <c r="C28" s="22"/>
      <c r="D28" s="22"/>
      <c r="E28" s="22"/>
      <c r="F28" s="22"/>
      <c r="G28" s="22"/>
      <c r="H28" s="22"/>
    </row>
    <row r="29" spans="1:8">
      <c r="A29" s="22"/>
      <c r="B29" s="22"/>
      <c r="C29" s="22"/>
      <c r="D29" s="22"/>
      <c r="E29" s="22"/>
      <c r="F29" s="22"/>
      <c r="G29" s="22"/>
      <c r="H29" s="22"/>
    </row>
    <row r="30" spans="1:8">
      <c r="A30" s="22"/>
      <c r="B30" s="22"/>
      <c r="C30" s="22"/>
      <c r="D30" s="22"/>
      <c r="E30" s="22"/>
      <c r="F30" s="22"/>
      <c r="G30" s="22"/>
      <c r="H30" s="22"/>
    </row>
    <row r="31" spans="1:8">
      <c r="A31" s="22"/>
      <c r="B31" s="22"/>
      <c r="C31" s="22"/>
      <c r="D31" s="22"/>
      <c r="E31" s="22"/>
      <c r="F31" s="22"/>
      <c r="G31" s="22"/>
      <c r="H31" s="22"/>
    </row>
    <row r="32" spans="1:8">
      <c r="A32" s="22"/>
      <c r="B32" s="22"/>
      <c r="C32" s="22"/>
      <c r="D32" s="22"/>
      <c r="E32" s="22"/>
      <c r="F32" s="22"/>
      <c r="G32" s="22"/>
      <c r="H32" s="22"/>
    </row>
  </sheetData>
  <mergeCells count="8">
    <mergeCell ref="A16:H16"/>
    <mergeCell ref="A24:H24"/>
    <mergeCell ref="A25:H32"/>
    <mergeCell ref="A1:H2"/>
    <mergeCell ref="A4:H4"/>
    <mergeCell ref="A5:H8"/>
    <mergeCell ref="A10:H10"/>
    <mergeCell ref="A11: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topLeftCell="A12" workbookViewId="0">
      <selection activeCell="D23" sqref="D23"/>
    </sheetView>
  </sheetViews>
  <sheetFormatPr baseColWidth="10" defaultColWidth="8.6640625" defaultRowHeight="14"/>
  <cols>
    <col min="1" max="1" width="38" customWidth="1"/>
    <col min="2" max="2" width="46" customWidth="1"/>
    <col min="3" max="4" width="22" customWidth="1"/>
    <col min="5" max="5" width="16" customWidth="1"/>
    <col min="6" max="7" width="14" customWidth="1"/>
  </cols>
  <sheetData>
    <row r="1" spans="1:7">
      <c r="A1" s="15" t="s">
        <v>49</v>
      </c>
      <c r="B1" s="15"/>
      <c r="C1" s="15"/>
      <c r="D1" s="15"/>
      <c r="E1" s="15"/>
      <c r="F1" s="15"/>
      <c r="G1" s="15"/>
    </row>
    <row r="2" spans="1:7">
      <c r="A2" s="15"/>
      <c r="B2" s="15"/>
      <c r="C2" s="15"/>
      <c r="D2" s="15"/>
      <c r="E2" s="15"/>
      <c r="F2" s="15"/>
      <c r="G2" s="15"/>
    </row>
    <row r="4" spans="1:7">
      <c r="A4" s="19" t="s">
        <v>50</v>
      </c>
      <c r="B4" s="19"/>
      <c r="C4" s="19"/>
      <c r="D4" s="19"/>
      <c r="E4" s="19"/>
      <c r="F4" s="19"/>
      <c r="G4" s="19"/>
    </row>
    <row r="5" spans="1:7">
      <c r="A5" s="20" t="s">
        <v>51</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10" spans="1:7">
      <c r="A10" s="18" t="s">
        <v>52</v>
      </c>
      <c r="B10" s="18"/>
      <c r="C10" s="18"/>
      <c r="D10" s="18"/>
      <c r="E10" s="18"/>
      <c r="F10" s="18"/>
      <c r="G10" s="18"/>
    </row>
    <row r="11" spans="1:7">
      <c r="A11" s="6" t="s">
        <v>53</v>
      </c>
      <c r="B11" s="6" t="s">
        <v>54</v>
      </c>
      <c r="C11" s="6" t="s">
        <v>55</v>
      </c>
      <c r="D11" s="6" t="s">
        <v>56</v>
      </c>
    </row>
    <row r="12" spans="1:7">
      <c r="A12" s="7" t="s">
        <v>57</v>
      </c>
      <c r="B12" s="7"/>
      <c r="C12" s="8">
        <v>5800000</v>
      </c>
      <c r="D12" s="7" t="s">
        <v>58</v>
      </c>
    </row>
    <row r="13" spans="1:7">
      <c r="A13" s="7" t="s">
        <v>59</v>
      </c>
      <c r="B13" s="7"/>
      <c r="C13" s="8">
        <v>-3620000</v>
      </c>
      <c r="D13" s="7" t="s">
        <v>58</v>
      </c>
    </row>
    <row r="14" spans="1:7">
      <c r="A14" s="7" t="s">
        <v>60</v>
      </c>
      <c r="B14" s="7"/>
      <c r="C14" s="8">
        <v>-420000</v>
      </c>
      <c r="D14" s="7" t="s">
        <v>58</v>
      </c>
    </row>
    <row r="15" spans="1:7">
      <c r="A15" s="7" t="s">
        <v>61</v>
      </c>
      <c r="B15" s="7"/>
      <c r="C15" s="8">
        <v>-310000</v>
      </c>
      <c r="D15" s="7" t="s">
        <v>58</v>
      </c>
    </row>
    <row r="16" spans="1:7">
      <c r="A16" s="7" t="s">
        <v>62</v>
      </c>
      <c r="B16" s="7"/>
      <c r="C16" s="8">
        <v>-180000</v>
      </c>
      <c r="D16" s="7" t="s">
        <v>58</v>
      </c>
    </row>
    <row r="17" spans="1:7">
      <c r="A17" s="7" t="s">
        <v>63</v>
      </c>
      <c r="B17" s="7"/>
      <c r="C17" s="8">
        <v>-45000</v>
      </c>
      <c r="D17" s="7" t="s">
        <v>58</v>
      </c>
    </row>
    <row r="18" spans="1:7">
      <c r="A18" s="1" t="s">
        <v>64</v>
      </c>
      <c r="B18" s="1" t="s">
        <v>65</v>
      </c>
      <c r="C18" s="9">
        <v>1225000</v>
      </c>
      <c r="D18" s="1" t="s">
        <v>66</v>
      </c>
    </row>
    <row r="21" spans="1:7">
      <c r="A21" s="18" t="s">
        <v>67</v>
      </c>
      <c r="B21" s="18"/>
      <c r="C21" s="18"/>
      <c r="D21" s="18"/>
      <c r="E21" s="18"/>
      <c r="F21" s="18"/>
      <c r="G21" s="18"/>
    </row>
    <row r="22" spans="1:7">
      <c r="A22" s="6" t="s">
        <v>68</v>
      </c>
      <c r="B22" s="6" t="s">
        <v>54</v>
      </c>
      <c r="C22" s="6" t="s">
        <v>69</v>
      </c>
      <c r="D22" s="6"/>
      <c r="E22" s="6" t="s">
        <v>71</v>
      </c>
    </row>
    <row r="23" spans="1:7">
      <c r="A23" s="7" t="s">
        <v>72</v>
      </c>
      <c r="B23" s="3"/>
      <c r="C23" s="10"/>
      <c r="D23" s="7"/>
      <c r="E23" s="7" t="str">
        <f>IF(C23="","Pendiente",IF(ABS(C23-D23)&lt;0.01,"Correcto","Revisar"))</f>
        <v>Pendiente</v>
      </c>
    </row>
    <row r="24" spans="1:7">
      <c r="A24" s="7" t="s">
        <v>73</v>
      </c>
      <c r="B24" s="3"/>
      <c r="C24" s="3"/>
      <c r="D24" s="7" t="s">
        <v>74</v>
      </c>
      <c r="E24" s="7" t="str">
        <f>IF(C24="","Pendiente",IF(C24=D24,"Correcto","Revisar"))</f>
        <v>Pendiente</v>
      </c>
    </row>
    <row r="25" spans="1:7">
      <c r="A25" s="7" t="s">
        <v>75</v>
      </c>
      <c r="B25" s="3"/>
      <c r="C25" s="3"/>
      <c r="D25" s="7" t="s">
        <v>74</v>
      </c>
      <c r="E25" s="7" t="str">
        <f>IF(C25="","Pendiente",IF(C25=D25,"Correcto","Revisar"))</f>
        <v>Pendiente</v>
      </c>
    </row>
    <row r="28" spans="1:7">
      <c r="A28" s="19" t="s">
        <v>76</v>
      </c>
      <c r="B28" s="19"/>
      <c r="C28" s="19"/>
      <c r="D28" s="19"/>
      <c r="E28" s="19"/>
      <c r="F28" s="19"/>
      <c r="G28" s="19"/>
    </row>
    <row r="29" spans="1:7">
      <c r="A29" s="20" t="s">
        <v>77</v>
      </c>
      <c r="B29" s="20"/>
      <c r="C29" s="20"/>
      <c r="D29" s="20"/>
      <c r="E29" s="20"/>
      <c r="F29" s="20"/>
      <c r="G29" s="20"/>
    </row>
    <row r="30" spans="1:7">
      <c r="A30" s="20"/>
      <c r="B30" s="20"/>
      <c r="C30" s="20"/>
      <c r="D30" s="20"/>
      <c r="E30" s="20"/>
      <c r="F30" s="20"/>
      <c r="G30" s="20"/>
    </row>
    <row r="31" spans="1:7">
      <c r="A31" s="20"/>
      <c r="B31" s="20"/>
      <c r="C31" s="20"/>
      <c r="D31" s="20"/>
      <c r="E31" s="20"/>
      <c r="F31" s="20"/>
      <c r="G31" s="20"/>
    </row>
  </sheetData>
  <mergeCells count="7">
    <mergeCell ref="A28:G28"/>
    <mergeCell ref="A29:G31"/>
    <mergeCell ref="A1:G2"/>
    <mergeCell ref="A4:G4"/>
    <mergeCell ref="A5:G8"/>
    <mergeCell ref="A10:G10"/>
    <mergeCell ref="A21:G21"/>
  </mergeCells>
  <dataValidations count="1">
    <dataValidation type="list" sqref="C24:C25" xr:uid="{00000000-0002-0000-0200-000000000000}">
      <formula1>"Sí,No"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
  <sheetViews>
    <sheetView topLeftCell="A9" workbookViewId="0">
      <selection activeCell="D25" sqref="D25"/>
    </sheetView>
  </sheetViews>
  <sheetFormatPr baseColWidth="10" defaultColWidth="8.6640625" defaultRowHeight="14"/>
  <cols>
    <col min="1" max="1" width="36" customWidth="1"/>
    <col min="2" max="2" width="48" customWidth="1"/>
    <col min="3" max="3" width="22" customWidth="1"/>
    <col min="4" max="4" width="52" customWidth="1"/>
    <col min="5" max="5" width="16" customWidth="1"/>
    <col min="6" max="7" width="14" customWidth="1"/>
  </cols>
  <sheetData>
    <row r="1" spans="1:7">
      <c r="A1" s="15" t="s">
        <v>78</v>
      </c>
      <c r="B1" s="15"/>
      <c r="C1" s="15"/>
      <c r="D1" s="15"/>
      <c r="E1" s="15"/>
      <c r="F1" s="15"/>
      <c r="G1" s="15"/>
    </row>
    <row r="2" spans="1:7">
      <c r="A2" s="15"/>
      <c r="B2" s="15"/>
      <c r="C2" s="15"/>
      <c r="D2" s="15"/>
      <c r="E2" s="15"/>
      <c r="F2" s="15"/>
      <c r="G2" s="15"/>
    </row>
    <row r="4" spans="1:7">
      <c r="A4" s="19" t="s">
        <v>79</v>
      </c>
      <c r="B4" s="19"/>
      <c r="C4" s="19"/>
      <c r="D4" s="19"/>
      <c r="E4" s="19"/>
      <c r="F4" s="19"/>
      <c r="G4" s="19"/>
    </row>
    <row r="5" spans="1:7">
      <c r="A5" s="20" t="s">
        <v>80</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10" spans="1:7">
      <c r="A10" s="18" t="s">
        <v>81</v>
      </c>
      <c r="B10" s="18"/>
      <c r="C10" s="18"/>
      <c r="D10" s="18"/>
      <c r="E10" s="18"/>
      <c r="F10" s="18"/>
      <c r="G10" s="18"/>
    </row>
    <row r="11" spans="1:7">
      <c r="A11" s="6" t="s">
        <v>82</v>
      </c>
      <c r="B11" s="6" t="s">
        <v>55</v>
      </c>
      <c r="C11" s="6" t="s">
        <v>83</v>
      </c>
      <c r="D11" s="6"/>
      <c r="E11" s="6" t="s">
        <v>71</v>
      </c>
    </row>
    <row r="12" spans="1:7">
      <c r="A12" s="7" t="s">
        <v>57</v>
      </c>
      <c r="B12" s="8">
        <v>5800000</v>
      </c>
      <c r="C12" s="3"/>
      <c r="D12" s="7"/>
      <c r="E12" s="7" t="str">
        <f t="shared" ref="E12:E19" si="0">IF(C12="","Pendiente",IF(C12=D12,"Correcto","Revisar"))</f>
        <v>Pendiente</v>
      </c>
    </row>
    <row r="13" spans="1:7">
      <c r="A13" s="7" t="s">
        <v>85</v>
      </c>
      <c r="B13" s="8">
        <v>3620000</v>
      </c>
      <c r="C13" s="3"/>
      <c r="D13" s="7"/>
      <c r="E13" s="7" t="str">
        <f t="shared" si="0"/>
        <v>Pendiente</v>
      </c>
    </row>
    <row r="14" spans="1:7">
      <c r="A14" s="7" t="s">
        <v>86</v>
      </c>
      <c r="B14" s="8">
        <v>420000</v>
      </c>
      <c r="C14" s="3"/>
      <c r="D14" s="7"/>
      <c r="E14" s="7" t="str">
        <f t="shared" si="0"/>
        <v>Pendiente</v>
      </c>
    </row>
    <row r="15" spans="1:7">
      <c r="A15" s="7" t="s">
        <v>87</v>
      </c>
      <c r="B15" s="8">
        <v>310000</v>
      </c>
      <c r="C15" s="3"/>
      <c r="D15" s="7"/>
      <c r="E15" s="7" t="str">
        <f t="shared" si="0"/>
        <v>Pendiente</v>
      </c>
    </row>
    <row r="16" spans="1:7">
      <c r="A16" s="7" t="s">
        <v>88</v>
      </c>
      <c r="B16" s="8">
        <v>180000</v>
      </c>
      <c r="C16" s="3"/>
      <c r="D16" s="7"/>
      <c r="E16" s="7" t="str">
        <f t="shared" si="0"/>
        <v>Pendiente</v>
      </c>
    </row>
    <row r="17" spans="1:7">
      <c r="A17" s="7" t="s">
        <v>89</v>
      </c>
      <c r="B17" s="8">
        <v>45000</v>
      </c>
      <c r="C17" s="3"/>
      <c r="D17" s="7"/>
      <c r="E17" s="7" t="str">
        <f t="shared" si="0"/>
        <v>Pendiente</v>
      </c>
    </row>
    <row r="18" spans="1:7">
      <c r="A18" s="7" t="s">
        <v>90</v>
      </c>
      <c r="B18" s="8">
        <v>150000</v>
      </c>
      <c r="C18" s="3"/>
      <c r="D18" s="7"/>
      <c r="E18" s="7" t="str">
        <f t="shared" si="0"/>
        <v>Pendiente</v>
      </c>
    </row>
    <row r="19" spans="1:7">
      <c r="A19" s="7" t="s">
        <v>91</v>
      </c>
      <c r="B19" s="8">
        <v>258750</v>
      </c>
      <c r="C19" s="3"/>
      <c r="D19" s="7"/>
      <c r="E19" s="7" t="str">
        <f t="shared" si="0"/>
        <v>Pendiente</v>
      </c>
    </row>
    <row r="22" spans="1:7">
      <c r="A22" s="18" t="s">
        <v>92</v>
      </c>
      <c r="B22" s="18"/>
      <c r="C22" s="18"/>
      <c r="D22" s="18"/>
      <c r="E22" s="18"/>
      <c r="F22" s="18"/>
      <c r="G22" s="18"/>
    </row>
    <row r="23" spans="1:7">
      <c r="A23" s="6" t="s">
        <v>53</v>
      </c>
      <c r="B23" s="6" t="s">
        <v>54</v>
      </c>
      <c r="C23" s="6" t="s">
        <v>69</v>
      </c>
      <c r="D23" s="6"/>
      <c r="E23" s="6" t="s">
        <v>71</v>
      </c>
    </row>
    <row r="24" spans="1:7">
      <c r="A24" s="7" t="s">
        <v>93</v>
      </c>
      <c r="B24" s="3"/>
      <c r="C24" s="10"/>
      <c r="D24" s="7"/>
      <c r="E24" s="7" t="str">
        <f>IF(C24="","Pendiente",IF(ABS(C24-D24)&lt;0.01,"Correcto","Revisar"))</f>
        <v>Pendiente</v>
      </c>
    </row>
    <row r="25" spans="1:7">
      <c r="A25" s="7" t="s">
        <v>94</v>
      </c>
      <c r="B25" s="3"/>
      <c r="C25" s="3"/>
      <c r="D25" s="7" t="s">
        <v>95</v>
      </c>
      <c r="E25" s="7" t="str">
        <f>IF(LEN(TRIM(B25))&gt;=40,"Completado","Ampliar")</f>
        <v>Ampliar</v>
      </c>
    </row>
  </sheetData>
  <mergeCells count="5">
    <mergeCell ref="A1:G2"/>
    <mergeCell ref="A4:G4"/>
    <mergeCell ref="A5:G8"/>
    <mergeCell ref="A10:G10"/>
    <mergeCell ref="A22:G22"/>
  </mergeCells>
  <dataValidations count="1">
    <dataValidation type="list" sqref="C12:C19" xr:uid="{00000000-0002-0000-0300-000000000000}">
      <formula1>"Sí,No"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topLeftCell="B4" workbookViewId="0">
      <selection activeCell="E22" sqref="E22"/>
    </sheetView>
  </sheetViews>
  <sheetFormatPr baseColWidth="10" defaultColWidth="8.6640625" defaultRowHeight="14"/>
  <cols>
    <col min="1" max="1" width="12" customWidth="1"/>
    <col min="2" max="2" width="30" customWidth="1"/>
    <col min="3" max="3" width="44" customWidth="1"/>
    <col min="4" max="4" width="22" customWidth="1"/>
    <col min="5" max="5" width="46" customWidth="1"/>
    <col min="6" max="6" width="16" customWidth="1"/>
    <col min="7" max="7" width="14" customWidth="1"/>
  </cols>
  <sheetData>
    <row r="1" spans="1:7">
      <c r="A1" s="15" t="s">
        <v>96</v>
      </c>
      <c r="B1" s="15"/>
      <c r="C1" s="15"/>
      <c r="D1" s="15"/>
      <c r="E1" s="15"/>
      <c r="F1" s="15"/>
      <c r="G1" s="15"/>
    </row>
    <row r="2" spans="1:7">
      <c r="A2" s="15"/>
      <c r="B2" s="15"/>
      <c r="C2" s="15"/>
      <c r="D2" s="15"/>
      <c r="E2" s="15"/>
      <c r="F2" s="15"/>
      <c r="G2" s="15"/>
    </row>
    <row r="4" spans="1:7">
      <c r="A4" s="19" t="s">
        <v>97</v>
      </c>
      <c r="B4" s="19"/>
      <c r="C4" s="19"/>
      <c r="D4" s="19"/>
      <c r="E4" s="19"/>
      <c r="F4" s="19"/>
      <c r="G4" s="19"/>
    </row>
    <row r="5" spans="1:7">
      <c r="A5" s="20" t="s">
        <v>98</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9" spans="1:7">
      <c r="A9" s="20"/>
      <c r="B9" s="20"/>
      <c r="C9" s="20"/>
      <c r="D9" s="20"/>
      <c r="E9" s="20"/>
      <c r="F9" s="20"/>
      <c r="G9" s="20"/>
    </row>
    <row r="11" spans="1:7">
      <c r="A11" s="18" t="s">
        <v>99</v>
      </c>
      <c r="B11" s="18"/>
      <c r="C11" s="18"/>
      <c r="D11" s="18"/>
      <c r="E11" s="18"/>
      <c r="F11" s="18"/>
      <c r="G11" s="18"/>
    </row>
    <row r="12" spans="1:7">
      <c r="A12" s="6" t="s">
        <v>53</v>
      </c>
      <c r="B12" s="6" t="s">
        <v>100</v>
      </c>
      <c r="C12" s="6" t="s">
        <v>101</v>
      </c>
    </row>
    <row r="13" spans="1:7">
      <c r="A13" s="7" t="s">
        <v>93</v>
      </c>
      <c r="B13" s="8">
        <v>1225000</v>
      </c>
      <c r="C13" s="7" t="s">
        <v>36</v>
      </c>
    </row>
    <row r="14" spans="1:7">
      <c r="A14" s="7" t="s">
        <v>102</v>
      </c>
      <c r="B14" s="11"/>
      <c r="C14" s="7" t="s">
        <v>39</v>
      </c>
    </row>
    <row r="15" spans="1:7">
      <c r="A15" s="7" t="s">
        <v>103</v>
      </c>
      <c r="B15" s="8"/>
      <c r="C15" s="7" t="s">
        <v>104</v>
      </c>
    </row>
    <row r="18" spans="1:7">
      <c r="A18" s="18" t="s">
        <v>67</v>
      </c>
      <c r="B18" s="18"/>
      <c r="C18" s="18"/>
      <c r="D18" s="18"/>
      <c r="E18" s="18"/>
      <c r="F18" s="18"/>
      <c r="G18" s="18"/>
    </row>
    <row r="19" spans="1:7">
      <c r="A19" s="6" t="s">
        <v>105</v>
      </c>
      <c r="B19" s="6" t="s">
        <v>53</v>
      </c>
      <c r="C19" s="6" t="s">
        <v>54</v>
      </c>
      <c r="D19" s="6" t="s">
        <v>69</v>
      </c>
      <c r="E19" s="6"/>
      <c r="F19" s="6" t="s">
        <v>71</v>
      </c>
    </row>
    <row r="20" spans="1:7">
      <c r="A20" s="7">
        <v>1</v>
      </c>
      <c r="B20" s="7" t="s">
        <v>103</v>
      </c>
      <c r="C20" s="3"/>
      <c r="D20" s="10"/>
      <c r="E20" s="7"/>
      <c r="F20" s="7" t="str">
        <f>IF(D20="","Pendiente",IF(ABS(D20-E20)&lt;0.01,"Correcto","Revisar"))</f>
        <v>Pendiente</v>
      </c>
    </row>
    <row r="21" spans="1:7">
      <c r="A21" s="7">
        <v>2</v>
      </c>
      <c r="B21" s="7" t="s">
        <v>106</v>
      </c>
      <c r="C21" s="3"/>
      <c r="D21" s="10"/>
      <c r="E21" s="7"/>
      <c r="F21" s="7" t="str">
        <f>IF(D21="","Pendiente",IF(ABS(D21-E21)&lt;0.01,"Correcto","Revisar"))</f>
        <v>Pendiente</v>
      </c>
    </row>
    <row r="22" spans="1:7">
      <c r="A22" s="7">
        <v>3</v>
      </c>
      <c r="B22" s="7" t="s">
        <v>94</v>
      </c>
      <c r="C22" s="3"/>
      <c r="D22" s="3"/>
      <c r="E22" s="7" t="s">
        <v>107</v>
      </c>
      <c r="F22" s="7" t="str">
        <f>IF(LEN(TRIM(C22))&gt;=45,"Completado","Ampliar")</f>
        <v>Ampliar</v>
      </c>
    </row>
  </sheetData>
  <mergeCells count="5">
    <mergeCell ref="A1:G2"/>
    <mergeCell ref="A4:G4"/>
    <mergeCell ref="A5:G9"/>
    <mergeCell ref="A11:G11"/>
    <mergeCell ref="A18:G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topLeftCell="A5" workbookViewId="0">
      <selection activeCell="D25" sqref="D25"/>
    </sheetView>
  </sheetViews>
  <sheetFormatPr baseColWidth="10" defaultColWidth="8.6640625" defaultRowHeight="14"/>
  <cols>
    <col min="1" max="1" width="36" customWidth="1"/>
    <col min="2" max="2" width="42" customWidth="1"/>
    <col min="3" max="4" width="22" customWidth="1"/>
    <col min="5" max="5" width="16" customWidth="1"/>
    <col min="6" max="6" width="44" customWidth="1"/>
    <col min="7" max="7" width="14" customWidth="1"/>
  </cols>
  <sheetData>
    <row r="1" spans="1:7">
      <c r="A1" s="15" t="s">
        <v>108</v>
      </c>
      <c r="B1" s="15"/>
      <c r="C1" s="15"/>
      <c r="D1" s="15"/>
      <c r="E1" s="15"/>
      <c r="F1" s="15"/>
      <c r="G1" s="15"/>
    </row>
    <row r="2" spans="1:7">
      <c r="A2" s="15"/>
      <c r="B2" s="15"/>
      <c r="C2" s="15"/>
      <c r="D2" s="15"/>
      <c r="E2" s="15"/>
      <c r="F2" s="15"/>
      <c r="G2" s="15"/>
    </row>
    <row r="4" spans="1:7">
      <c r="A4" s="19" t="s">
        <v>97</v>
      </c>
      <c r="B4" s="19"/>
      <c r="C4" s="19"/>
      <c r="D4" s="19"/>
      <c r="E4" s="19"/>
      <c r="F4" s="19"/>
      <c r="G4" s="19"/>
    </row>
    <row r="5" spans="1:7">
      <c r="A5" s="20" t="s">
        <v>109</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9" spans="1:7">
      <c r="A9" s="20"/>
      <c r="B9" s="20"/>
      <c r="C9" s="20"/>
      <c r="D9" s="20"/>
      <c r="E9" s="20"/>
      <c r="F9" s="20"/>
      <c r="G9" s="20"/>
    </row>
    <row r="11" spans="1:7">
      <c r="A11" s="18" t="s">
        <v>110</v>
      </c>
      <c r="B11" s="18"/>
      <c r="C11" s="18"/>
      <c r="D11" s="18"/>
      <c r="E11" s="18"/>
      <c r="F11" s="18"/>
      <c r="G11" s="18"/>
    </row>
    <row r="12" spans="1:7">
      <c r="A12" s="6" t="s">
        <v>111</v>
      </c>
      <c r="B12" s="6" t="s">
        <v>55</v>
      </c>
      <c r="C12" s="6" t="s">
        <v>112</v>
      </c>
      <c r="D12" s="6" t="s">
        <v>84</v>
      </c>
      <c r="E12" s="6" t="s">
        <v>94</v>
      </c>
      <c r="F12" s="6" t="s">
        <v>71</v>
      </c>
    </row>
    <row r="13" spans="1:7">
      <c r="A13" s="7" t="s">
        <v>113</v>
      </c>
      <c r="B13" s="8">
        <v>120000</v>
      </c>
      <c r="C13" s="3"/>
      <c r="D13" s="7" t="s">
        <v>58</v>
      </c>
      <c r="E13" s="3"/>
      <c r="F13" s="7" t="str">
        <f>IF(C13="","Pendiente",IF(C13=D13,"Correcto","Revisar"))</f>
        <v>Pendiente</v>
      </c>
    </row>
    <row r="14" spans="1:7">
      <c r="A14" s="7" t="s">
        <v>114</v>
      </c>
      <c r="B14" s="8">
        <v>60000</v>
      </c>
      <c r="C14" s="3"/>
      <c r="D14" s="7" t="s">
        <v>58</v>
      </c>
      <c r="E14" s="3"/>
      <c r="F14" s="7" t="str">
        <f>IF(C14="","Pendiente",IF(C14=D14,"Correcto","Revisar"))</f>
        <v>Pendiente</v>
      </c>
    </row>
    <row r="15" spans="1:7">
      <c r="A15" s="7" t="s">
        <v>115</v>
      </c>
      <c r="B15" s="8">
        <v>45000</v>
      </c>
      <c r="C15" s="3"/>
      <c r="D15" s="7" t="s">
        <v>58</v>
      </c>
      <c r="E15" s="3"/>
      <c r="F15" s="7" t="str">
        <f>IF(C15="","Pendiente",IF(C15=D15,"Correcto","Revisar"))</f>
        <v>Pendiente</v>
      </c>
    </row>
    <row r="16" spans="1:7">
      <c r="A16" s="7" t="s">
        <v>116</v>
      </c>
      <c r="B16" s="8">
        <v>95000</v>
      </c>
      <c r="C16" s="3"/>
      <c r="D16" s="7" t="s">
        <v>74</v>
      </c>
      <c r="E16" s="3"/>
      <c r="F16" s="7" t="str">
        <f>IF(C16="","Pendiente",IF(C16=D16,"Correcto","Revisar"))</f>
        <v>Pendiente</v>
      </c>
    </row>
    <row r="17" spans="1:7">
      <c r="A17" s="7" t="s">
        <v>117</v>
      </c>
      <c r="B17" s="8">
        <v>210000</v>
      </c>
      <c r="C17" s="3"/>
      <c r="D17" s="7" t="s">
        <v>74</v>
      </c>
      <c r="E17" s="3"/>
      <c r="F17" s="7" t="str">
        <f>IF(C17="","Pendiente",IF(C17=D17,"Correcto","Revisar"))</f>
        <v>Pendiente</v>
      </c>
    </row>
    <row r="20" spans="1:7">
      <c r="A20" s="18" t="s">
        <v>118</v>
      </c>
      <c r="B20" s="18"/>
      <c r="C20" s="18"/>
      <c r="D20" s="18"/>
      <c r="E20" s="18"/>
      <c r="F20" s="18"/>
      <c r="G20" s="18"/>
    </row>
    <row r="21" spans="1:7">
      <c r="A21" s="6" t="s">
        <v>53</v>
      </c>
      <c r="B21" s="6" t="s">
        <v>54</v>
      </c>
      <c r="C21" s="6" t="s">
        <v>69</v>
      </c>
      <c r="D21" s="6"/>
      <c r="E21" s="6" t="s">
        <v>71</v>
      </c>
    </row>
    <row r="22" spans="1:7">
      <c r="A22" s="7" t="s">
        <v>119</v>
      </c>
      <c r="B22" s="3"/>
      <c r="C22" s="10"/>
      <c r="D22" s="7"/>
      <c r="E22" s="7" t="str">
        <f>IF(C22="","Pendiente",IF(ABS(C22-D22)&lt;0.01,"Correcto","Revisar"))</f>
        <v>Pendiente</v>
      </c>
    </row>
    <row r="23" spans="1:7">
      <c r="A23" s="7" t="s">
        <v>120</v>
      </c>
      <c r="B23" s="3"/>
      <c r="C23" s="10"/>
      <c r="D23" s="7"/>
      <c r="E23" s="7" t="str">
        <f>IF(C23="","Pendiente",IF(ABS(C23-D23)&lt;0.01,"Correcto","Revisar"))</f>
        <v>Pendiente</v>
      </c>
    </row>
    <row r="24" spans="1:7">
      <c r="A24" s="7" t="s">
        <v>121</v>
      </c>
      <c r="B24" s="3"/>
      <c r="C24" s="10"/>
      <c r="D24" s="7"/>
      <c r="E24" s="7" t="str">
        <f>IF(C24="","Pendiente",IF(ABS(C24-D24)&lt;0.01,"Correcto","Revisar"))</f>
        <v>Pendiente</v>
      </c>
    </row>
  </sheetData>
  <mergeCells count="5">
    <mergeCell ref="A1:G2"/>
    <mergeCell ref="A4:G4"/>
    <mergeCell ref="A5:G9"/>
    <mergeCell ref="A11:G11"/>
    <mergeCell ref="A20:G20"/>
  </mergeCells>
  <dataValidations count="1">
    <dataValidation type="list" sqref="C13:C17" xr:uid="{00000000-0002-0000-0500-000000000000}">
      <formula1>"Sí,No"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
  <sheetViews>
    <sheetView topLeftCell="A8" zoomScale="77" workbookViewId="0">
      <selection activeCell="D21" sqref="D21"/>
    </sheetView>
  </sheetViews>
  <sheetFormatPr baseColWidth="10" defaultColWidth="8.6640625" defaultRowHeight="14"/>
  <cols>
    <col min="1" max="1" width="42" customWidth="1"/>
    <col min="2" max="2" width="62" customWidth="1"/>
    <col min="3" max="3" width="52" customWidth="1"/>
    <col min="4" max="4" width="18" customWidth="1"/>
    <col min="5" max="5" width="46" customWidth="1"/>
    <col min="6" max="7" width="14" customWidth="1"/>
  </cols>
  <sheetData>
    <row r="1" spans="1:7">
      <c r="A1" s="15" t="s">
        <v>122</v>
      </c>
      <c r="B1" s="15"/>
      <c r="C1" s="15"/>
      <c r="D1" s="15"/>
      <c r="E1" s="15"/>
      <c r="F1" s="15"/>
      <c r="G1" s="15"/>
    </row>
    <row r="2" spans="1:7">
      <c r="A2" s="15"/>
      <c r="B2" s="15"/>
      <c r="C2" s="15"/>
      <c r="D2" s="15"/>
      <c r="E2" s="15"/>
      <c r="F2" s="15"/>
      <c r="G2" s="15"/>
    </row>
    <row r="4" spans="1:7">
      <c r="A4" s="19" t="s">
        <v>97</v>
      </c>
      <c r="B4" s="19"/>
      <c r="C4" s="19"/>
      <c r="D4" s="19"/>
      <c r="E4" s="19"/>
      <c r="F4" s="19"/>
      <c r="G4" s="19"/>
    </row>
    <row r="5" spans="1:7">
      <c r="A5" s="20" t="s">
        <v>123</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9" spans="1:7">
      <c r="A9" s="20"/>
      <c r="B9" s="20"/>
      <c r="C9" s="20"/>
      <c r="D9" s="20"/>
      <c r="E9" s="20"/>
      <c r="F9" s="20"/>
      <c r="G9" s="20"/>
    </row>
    <row r="11" spans="1:7">
      <c r="A11" s="18" t="s">
        <v>124</v>
      </c>
      <c r="B11" s="18"/>
      <c r="C11" s="18"/>
      <c r="D11" s="18"/>
      <c r="E11" s="18"/>
      <c r="F11" s="18"/>
      <c r="G11" s="18"/>
    </row>
    <row r="12" spans="1:7">
      <c r="A12" s="6" t="s">
        <v>125</v>
      </c>
      <c r="B12" s="6" t="s">
        <v>126</v>
      </c>
      <c r="C12" s="6" t="s">
        <v>55</v>
      </c>
      <c r="D12" s="6" t="s">
        <v>127</v>
      </c>
      <c r="E12" s="6" t="s">
        <v>128</v>
      </c>
    </row>
    <row r="13" spans="1:7">
      <c r="A13" s="7" t="s">
        <v>129</v>
      </c>
      <c r="B13" s="5" t="s">
        <v>130</v>
      </c>
      <c r="C13" s="8">
        <v>280000</v>
      </c>
      <c r="D13" s="3"/>
      <c r="E13" s="3"/>
    </row>
    <row r="14" spans="1:7">
      <c r="A14" s="7" t="s">
        <v>131</v>
      </c>
      <c r="B14" s="5" t="s">
        <v>132</v>
      </c>
      <c r="C14" s="8">
        <v>150000</v>
      </c>
      <c r="D14" s="3"/>
      <c r="E14" s="3"/>
    </row>
    <row r="15" spans="1:7">
      <c r="A15" s="7" t="s">
        <v>133</v>
      </c>
      <c r="B15" s="5" t="s">
        <v>134</v>
      </c>
      <c r="C15" s="8">
        <v>90000</v>
      </c>
      <c r="D15" s="3"/>
      <c r="E15" s="3"/>
    </row>
    <row r="18" spans="1:7">
      <c r="A18" s="18" t="s">
        <v>135</v>
      </c>
      <c r="B18" s="18"/>
      <c r="C18" s="18"/>
      <c r="D18" s="18"/>
      <c r="E18" s="18"/>
      <c r="F18" s="18"/>
      <c r="G18" s="18"/>
    </row>
    <row r="19" spans="1:7">
      <c r="A19" s="6" t="s">
        <v>53</v>
      </c>
      <c r="B19" s="6" t="s">
        <v>54</v>
      </c>
      <c r="C19" s="6" t="s">
        <v>69</v>
      </c>
      <c r="D19" s="6"/>
      <c r="E19" s="6" t="s">
        <v>71</v>
      </c>
    </row>
    <row r="20" spans="1:7">
      <c r="A20" s="7" t="s">
        <v>136</v>
      </c>
      <c r="B20" s="3"/>
      <c r="C20" s="10"/>
      <c r="D20" s="7"/>
      <c r="E20" s="7" t="str">
        <f>IF(C20="","Pendiente",IF(ABS(C20-D20)&lt;0.01,"Correcto","Revisar"))</f>
        <v>Pendiente</v>
      </c>
    </row>
    <row r="21" spans="1:7">
      <c r="A21" s="7" t="s">
        <v>137</v>
      </c>
      <c r="B21" s="3"/>
      <c r="C21" s="10"/>
      <c r="D21" s="7"/>
      <c r="E21" s="7" t="str">
        <f>IF(C21="","Pendiente",IF(ABS(C21-D21)&lt;0.01,"Correcto","Revisar"))</f>
        <v>Pendiente</v>
      </c>
    </row>
    <row r="22" spans="1:7">
      <c r="A22" s="7" t="s">
        <v>138</v>
      </c>
      <c r="B22" s="3"/>
      <c r="C22" s="10"/>
      <c r="D22" s="7"/>
      <c r="E22" s="7" t="str">
        <f>IF(C22="","Pendiente",IF(ABS(C22-D22)&lt;0.01,"Correcto","Revisar"))</f>
        <v>Pendiente</v>
      </c>
    </row>
    <row r="23" spans="1:7">
      <c r="A23" s="7" t="s">
        <v>139</v>
      </c>
      <c r="B23" s="3"/>
      <c r="C23" s="10"/>
      <c r="D23" s="7"/>
      <c r="E23" s="7" t="str">
        <f>IF(C23="","Pendiente",IF(ABS(C23-D23)&lt;0.01,"Correcto","Revisar"))</f>
        <v>Pendiente</v>
      </c>
    </row>
    <row r="26" spans="1:7">
      <c r="A26" s="18" t="s">
        <v>140</v>
      </c>
      <c r="B26" s="18"/>
      <c r="C26" s="18"/>
      <c r="D26" s="18"/>
      <c r="E26" s="18"/>
      <c r="F26" s="18"/>
      <c r="G26" s="18"/>
    </row>
    <row r="27" spans="1:7">
      <c r="A27" s="6" t="s">
        <v>68</v>
      </c>
      <c r="B27" s="6" t="s">
        <v>141</v>
      </c>
      <c r="C27" s="6" t="s">
        <v>142</v>
      </c>
    </row>
    <row r="28" spans="1:7">
      <c r="A28" s="7" t="s">
        <v>143</v>
      </c>
      <c r="B28" s="12"/>
      <c r="C28" s="7" t="s">
        <v>144</v>
      </c>
    </row>
    <row r="29" spans="1:7">
      <c r="A29" s="7" t="s">
        <v>145</v>
      </c>
      <c r="B29" s="12"/>
      <c r="C29" s="7" t="s">
        <v>146</v>
      </c>
    </row>
  </sheetData>
  <mergeCells count="6">
    <mergeCell ref="A26:G26"/>
    <mergeCell ref="A1:G2"/>
    <mergeCell ref="A4:G4"/>
    <mergeCell ref="A5:G9"/>
    <mergeCell ref="A11:G11"/>
    <mergeCell ref="A18:G18"/>
  </mergeCells>
  <dataValidations count="1">
    <dataValidation type="list" sqref="D13:D15" xr:uid="{00000000-0002-0000-0600-000000000000}">
      <formula1>"Sí,No"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topLeftCell="B3" zoomScale="90" workbookViewId="0">
      <selection activeCell="F24" sqref="F24"/>
    </sheetView>
  </sheetViews>
  <sheetFormatPr baseColWidth="10" defaultColWidth="8.6640625" defaultRowHeight="14"/>
  <cols>
    <col min="1" max="1" width="42" customWidth="1"/>
    <col min="2" max="3" width="28" customWidth="1"/>
    <col min="4" max="5" width="22" customWidth="1"/>
    <col min="6" max="6" width="54" customWidth="1"/>
    <col min="7" max="7" width="14" customWidth="1"/>
  </cols>
  <sheetData>
    <row r="1" spans="1:7">
      <c r="A1" s="15" t="s">
        <v>147</v>
      </c>
      <c r="B1" s="15"/>
      <c r="C1" s="15"/>
      <c r="D1" s="15"/>
      <c r="E1" s="15"/>
      <c r="F1" s="15"/>
      <c r="G1" s="15"/>
    </row>
    <row r="2" spans="1:7">
      <c r="A2" s="15"/>
      <c r="B2" s="15"/>
      <c r="C2" s="15"/>
      <c r="D2" s="15"/>
      <c r="E2" s="15"/>
      <c r="F2" s="15"/>
      <c r="G2" s="15"/>
    </row>
    <row r="4" spans="1:7">
      <c r="A4" s="19" t="s">
        <v>97</v>
      </c>
      <c r="B4" s="19"/>
      <c r="C4" s="19"/>
      <c r="D4" s="19"/>
      <c r="E4" s="19"/>
      <c r="F4" s="19"/>
      <c r="G4" s="19"/>
    </row>
    <row r="5" spans="1:7">
      <c r="A5" s="20" t="s">
        <v>148</v>
      </c>
      <c r="B5" s="20"/>
      <c r="C5" s="20"/>
      <c r="D5" s="20"/>
      <c r="E5" s="20"/>
      <c r="F5" s="20"/>
      <c r="G5" s="20"/>
    </row>
    <row r="6" spans="1:7">
      <c r="A6" s="20"/>
      <c r="B6" s="20"/>
      <c r="C6" s="20"/>
      <c r="D6" s="20"/>
      <c r="E6" s="20"/>
      <c r="F6" s="20"/>
      <c r="G6" s="20"/>
    </row>
    <row r="7" spans="1:7">
      <c r="A7" s="20"/>
      <c r="B7" s="20"/>
      <c r="C7" s="20"/>
      <c r="D7" s="20"/>
      <c r="E7" s="20"/>
      <c r="F7" s="20"/>
      <c r="G7" s="20"/>
    </row>
    <row r="8" spans="1:7">
      <c r="A8" s="20"/>
      <c r="B8" s="20"/>
      <c r="C8" s="20"/>
      <c r="D8" s="20"/>
      <c r="E8" s="20"/>
      <c r="F8" s="20"/>
      <c r="G8" s="20"/>
    </row>
    <row r="9" spans="1:7">
      <c r="A9" s="20"/>
      <c r="B9" s="20"/>
      <c r="C9" s="20"/>
      <c r="D9" s="20"/>
      <c r="E9" s="20"/>
      <c r="F9" s="20"/>
      <c r="G9" s="20"/>
    </row>
    <row r="10" spans="1:7">
      <c r="A10" s="20"/>
      <c r="B10" s="20"/>
      <c r="C10" s="20"/>
      <c r="D10" s="20"/>
      <c r="E10" s="20"/>
      <c r="F10" s="20"/>
      <c r="G10" s="20"/>
    </row>
    <row r="12" spans="1:7">
      <c r="A12" s="18" t="s">
        <v>149</v>
      </c>
      <c r="B12" s="18"/>
      <c r="C12" s="18"/>
      <c r="D12" s="18"/>
      <c r="E12" s="18"/>
      <c r="F12" s="18"/>
      <c r="G12" s="18"/>
    </row>
    <row r="13" spans="1:7">
      <c r="A13" s="6" t="s">
        <v>150</v>
      </c>
      <c r="B13" s="6" t="s">
        <v>151</v>
      </c>
      <c r="C13" s="6" t="s">
        <v>152</v>
      </c>
      <c r="D13" s="6" t="s">
        <v>153</v>
      </c>
      <c r="E13" s="6" t="s">
        <v>154</v>
      </c>
      <c r="F13" s="6" t="s">
        <v>155</v>
      </c>
    </row>
    <row r="14" spans="1:7">
      <c r="A14" s="7" t="s">
        <v>156</v>
      </c>
      <c r="B14" s="8">
        <v>480000</v>
      </c>
      <c r="C14" s="8">
        <v>520000</v>
      </c>
      <c r="D14" s="23"/>
      <c r="E14" s="24"/>
      <c r="F14" s="5"/>
    </row>
    <row r="15" spans="1:7">
      <c r="A15" s="7" t="s">
        <v>158</v>
      </c>
      <c r="B15" s="8">
        <v>710000</v>
      </c>
      <c r="C15" s="8">
        <v>780000</v>
      </c>
      <c r="D15" s="23"/>
      <c r="E15" s="24"/>
      <c r="F15" s="5"/>
    </row>
    <row r="16" spans="1:7">
      <c r="A16" s="7" t="s">
        <v>159</v>
      </c>
      <c r="B16" s="8">
        <v>490000</v>
      </c>
      <c r="C16" s="8">
        <v>520000</v>
      </c>
      <c r="D16" s="23"/>
      <c r="E16" s="24"/>
      <c r="F16" s="5"/>
    </row>
    <row r="19" spans="1:7">
      <c r="A19" s="18" t="s">
        <v>67</v>
      </c>
      <c r="B19" s="18"/>
      <c r="C19" s="18"/>
      <c r="D19" s="18"/>
      <c r="E19" s="18"/>
      <c r="F19" s="18"/>
      <c r="G19" s="18"/>
    </row>
    <row r="20" spans="1:7">
      <c r="A20" s="6" t="s">
        <v>105</v>
      </c>
      <c r="B20" s="6" t="s">
        <v>53</v>
      </c>
      <c r="C20" s="6" t="s">
        <v>54</v>
      </c>
      <c r="D20" s="6" t="s">
        <v>69</v>
      </c>
      <c r="E20" s="6"/>
      <c r="F20" s="6" t="s">
        <v>71</v>
      </c>
    </row>
    <row r="21" spans="1:7">
      <c r="A21" s="7">
        <v>1</v>
      </c>
      <c r="B21" s="7" t="s">
        <v>161</v>
      </c>
      <c r="C21" s="3"/>
      <c r="D21" s="10"/>
      <c r="E21" s="7"/>
      <c r="F21" s="7" t="str">
        <f>IF(D21="","Pendiente",IF(ABS(D21-E21)&lt;0.01,"Correcto","Revisar"))</f>
        <v>Pendiente</v>
      </c>
    </row>
    <row r="22" spans="1:7">
      <c r="A22" s="7">
        <v>2</v>
      </c>
      <c r="B22" s="7" t="s">
        <v>162</v>
      </c>
      <c r="C22" s="3"/>
      <c r="D22" s="10"/>
      <c r="E22" s="7"/>
      <c r="F22" s="7" t="str">
        <f>IF(D22="","Pendiente",IF(ABS(D22-E22)&lt;0.01,"Correcto","Revisar"))</f>
        <v>Pendiente</v>
      </c>
    </row>
    <row r="23" spans="1:7">
      <c r="A23" s="7">
        <v>3</v>
      </c>
      <c r="B23" s="7" t="s">
        <v>163</v>
      </c>
      <c r="C23" s="3"/>
      <c r="D23" s="10"/>
      <c r="E23" s="7"/>
      <c r="F23" s="7" t="str">
        <f>IF(D23="","Pendiente",IF(ABS(D23-E23)&lt;0.01,"Correcto","Revisar"))</f>
        <v>Pendiente</v>
      </c>
    </row>
    <row r="24" spans="1:7">
      <c r="A24" s="7">
        <v>4</v>
      </c>
      <c r="B24" s="7" t="s">
        <v>164</v>
      </c>
      <c r="C24" s="3"/>
      <c r="D24" s="10"/>
      <c r="E24" s="7"/>
      <c r="F24" s="7" t="str">
        <f>IF(D24="","Pendiente",IF(ABS(D24-E24)&lt;0.01,"Correcto","Revisar"))</f>
        <v>Pendiente</v>
      </c>
    </row>
    <row r="27" spans="1:7">
      <c r="A27" s="18" t="s">
        <v>165</v>
      </c>
      <c r="B27" s="18"/>
      <c r="C27" s="18"/>
      <c r="D27" s="18"/>
      <c r="E27" s="18"/>
      <c r="F27" s="18"/>
      <c r="G27" s="18"/>
    </row>
    <row r="28" spans="1:7">
      <c r="A28" s="6" t="s">
        <v>68</v>
      </c>
      <c r="B28" s="6" t="s">
        <v>141</v>
      </c>
      <c r="C28" s="6" t="s">
        <v>142</v>
      </c>
    </row>
    <row r="29" spans="1:7">
      <c r="A29" s="7" t="s">
        <v>166</v>
      </c>
      <c r="B29" s="12"/>
      <c r="C29" s="7" t="s">
        <v>167</v>
      </c>
    </row>
    <row r="30" spans="1:7">
      <c r="A30" s="7" t="s">
        <v>168</v>
      </c>
      <c r="B30" s="12"/>
      <c r="C30" s="7" t="s">
        <v>169</v>
      </c>
    </row>
  </sheetData>
  <mergeCells count="6">
    <mergeCell ref="A27:G27"/>
    <mergeCell ref="A1:G2"/>
    <mergeCell ref="A4:G4"/>
    <mergeCell ref="A5:G10"/>
    <mergeCell ref="A12:G12"/>
    <mergeCell ref="A19:G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topLeftCell="A7" zoomScale="90" workbookViewId="0">
      <selection activeCell="C26" sqref="C26"/>
    </sheetView>
  </sheetViews>
  <sheetFormatPr baseColWidth="10" defaultColWidth="8.6640625" defaultRowHeight="14"/>
  <cols>
    <col min="1" max="1" width="18" customWidth="1"/>
    <col min="2" max="2" width="36" customWidth="1"/>
    <col min="3" max="3" width="20" customWidth="1"/>
    <col min="4" max="5" width="24" customWidth="1"/>
    <col min="6" max="6" width="16" customWidth="1"/>
    <col min="7" max="8" width="14" customWidth="1"/>
  </cols>
  <sheetData>
    <row r="1" spans="1:8">
      <c r="A1" s="15" t="s">
        <v>170</v>
      </c>
      <c r="B1" s="15"/>
      <c r="C1" s="15"/>
      <c r="D1" s="15"/>
      <c r="E1" s="15"/>
      <c r="F1" s="15"/>
      <c r="G1" s="15"/>
      <c r="H1" s="15"/>
    </row>
    <row r="2" spans="1:8">
      <c r="A2" s="15"/>
      <c r="B2" s="15"/>
      <c r="C2" s="15"/>
      <c r="D2" s="15"/>
      <c r="E2" s="15"/>
      <c r="F2" s="15"/>
      <c r="G2" s="15"/>
      <c r="H2" s="15"/>
    </row>
    <row r="4" spans="1:8">
      <c r="A4" s="19" t="s">
        <v>171</v>
      </c>
      <c r="B4" s="19"/>
      <c r="C4" s="19"/>
      <c r="D4" s="19"/>
      <c r="E4" s="19"/>
      <c r="F4" s="19"/>
      <c r="G4" s="19"/>
      <c r="H4" s="19"/>
    </row>
    <row r="5" spans="1:8">
      <c r="A5" s="20" t="s">
        <v>172</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173</v>
      </c>
      <c r="B12" s="18"/>
      <c r="C12" s="18"/>
      <c r="D12" s="18"/>
      <c r="E12" s="18"/>
      <c r="F12" s="18"/>
      <c r="G12" s="18"/>
      <c r="H12" s="18"/>
    </row>
    <row r="13" spans="1:8">
      <c r="A13" s="6" t="s">
        <v>174</v>
      </c>
      <c r="B13" s="6" t="s">
        <v>175</v>
      </c>
      <c r="C13" s="6" t="s">
        <v>176</v>
      </c>
      <c r="D13" s="6" t="s">
        <v>141</v>
      </c>
      <c r="E13" s="6" t="s">
        <v>70</v>
      </c>
      <c r="F13" s="6" t="s">
        <v>71</v>
      </c>
    </row>
    <row r="14" spans="1:8">
      <c r="A14" s="7">
        <v>1</v>
      </c>
      <c r="B14" s="7" t="s">
        <v>106</v>
      </c>
      <c r="C14" s="7" t="s">
        <v>157</v>
      </c>
      <c r="D14" s="10"/>
      <c r="E14" s="8">
        <v>918750</v>
      </c>
      <c r="F14" s="7" t="str">
        <f t="shared" ref="F14:F19" si="0">IF(D14="","Pendiente",IF(ABS(D14-E14)&lt;0.01,"Correcto","Revisar"))</f>
        <v>Pendiente</v>
      </c>
    </row>
    <row r="15" spans="1:8">
      <c r="A15" s="7">
        <v>2</v>
      </c>
      <c r="B15" s="7" t="s">
        <v>88</v>
      </c>
      <c r="C15" s="7" t="s">
        <v>157</v>
      </c>
      <c r="D15" s="10"/>
      <c r="E15" s="8">
        <v>180000</v>
      </c>
      <c r="F15" s="7" t="str">
        <f t="shared" si="0"/>
        <v>Pendiente</v>
      </c>
    </row>
    <row r="16" spans="1:8">
      <c r="A16" s="7">
        <v>3</v>
      </c>
      <c r="B16" s="7" t="s">
        <v>89</v>
      </c>
      <c r="C16" s="7" t="s">
        <v>157</v>
      </c>
      <c r="D16" s="10"/>
      <c r="E16" s="8">
        <v>45000</v>
      </c>
      <c r="F16" s="7" t="str">
        <f t="shared" si="0"/>
        <v>Pendiente</v>
      </c>
    </row>
    <row r="17" spans="1:8">
      <c r="A17" s="7">
        <v>4</v>
      </c>
      <c r="B17" s="7" t="s">
        <v>177</v>
      </c>
      <c r="C17" s="7" t="s">
        <v>160</v>
      </c>
      <c r="D17" s="10"/>
      <c r="E17" s="8">
        <v>520000</v>
      </c>
      <c r="F17" s="7" t="str">
        <f t="shared" si="0"/>
        <v>Pendiente</v>
      </c>
    </row>
    <row r="18" spans="1:8">
      <c r="A18" s="7">
        <v>5</v>
      </c>
      <c r="B18" s="7" t="s">
        <v>164</v>
      </c>
      <c r="C18" s="7" t="s">
        <v>160</v>
      </c>
      <c r="D18" s="10"/>
      <c r="E18" s="8">
        <v>80000</v>
      </c>
      <c r="F18" s="7" t="str">
        <f t="shared" si="0"/>
        <v>Pendiente</v>
      </c>
    </row>
    <row r="19" spans="1:8">
      <c r="A19" s="13">
        <v>6</v>
      </c>
      <c r="B19" s="13" t="s">
        <v>178</v>
      </c>
      <c r="C19" s="13" t="s">
        <v>179</v>
      </c>
      <c r="D19" s="14"/>
      <c r="E19" s="14">
        <v>543750</v>
      </c>
      <c r="F19" s="13" t="str">
        <f t="shared" si="0"/>
        <v>Pendiente</v>
      </c>
    </row>
    <row r="22" spans="1:8">
      <c r="A22" s="18" t="s">
        <v>180</v>
      </c>
      <c r="B22" s="18"/>
      <c r="C22" s="18"/>
      <c r="D22" s="18"/>
      <c r="E22" s="18"/>
      <c r="F22" s="18"/>
      <c r="G22" s="18"/>
      <c r="H22" s="18"/>
    </row>
    <row r="23" spans="1:8">
      <c r="A23" s="6" t="s">
        <v>181</v>
      </c>
      <c r="B23" s="6" t="s">
        <v>141</v>
      </c>
      <c r="C23" s="6" t="s">
        <v>142</v>
      </c>
    </row>
    <row r="24" spans="1:8">
      <c r="A24" s="7" t="s">
        <v>182</v>
      </c>
      <c r="B24" s="3"/>
      <c r="C24" s="7"/>
    </row>
    <row r="25" spans="1:8">
      <c r="A25" s="7" t="s">
        <v>178</v>
      </c>
      <c r="B25" s="10"/>
      <c r="C25" s="7"/>
    </row>
    <row r="26" spans="1:8">
      <c r="A26" s="7" t="s">
        <v>183</v>
      </c>
      <c r="B26" s="3"/>
      <c r="C26" s="7"/>
    </row>
  </sheetData>
  <mergeCells count="5">
    <mergeCell ref="A1:H2"/>
    <mergeCell ref="A4:H4"/>
    <mergeCell ref="A5:H10"/>
    <mergeCell ref="A12:H12"/>
    <mergeCell ref="A22:H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3"/>
  <sheetViews>
    <sheetView tabSelected="1" topLeftCell="A3" workbookViewId="0">
      <selection activeCell="B16" sqref="B16"/>
    </sheetView>
  </sheetViews>
  <sheetFormatPr baseColWidth="10" defaultColWidth="8.6640625" defaultRowHeight="14"/>
  <cols>
    <col min="1" max="1" width="52" customWidth="1"/>
    <col min="2" max="2" width="70" customWidth="1"/>
    <col min="3" max="3" width="56" customWidth="1"/>
    <col min="4" max="6" width="18" customWidth="1"/>
    <col min="7" max="8" width="14" customWidth="1"/>
  </cols>
  <sheetData>
    <row r="1" spans="1:8">
      <c r="A1" s="15" t="s">
        <v>184</v>
      </c>
      <c r="B1" s="15"/>
      <c r="C1" s="15"/>
      <c r="D1" s="15"/>
      <c r="E1" s="15"/>
      <c r="F1" s="15"/>
      <c r="G1" s="15"/>
      <c r="H1" s="15"/>
    </row>
    <row r="2" spans="1:8">
      <c r="A2" s="15"/>
      <c r="B2" s="15"/>
      <c r="C2" s="15"/>
      <c r="D2" s="15"/>
      <c r="E2" s="15"/>
      <c r="F2" s="15"/>
      <c r="G2" s="15"/>
      <c r="H2" s="15"/>
    </row>
    <row r="4" spans="1:8">
      <c r="A4" s="19" t="s">
        <v>185</v>
      </c>
      <c r="B4" s="19"/>
      <c r="C4" s="19"/>
      <c r="D4" s="19"/>
      <c r="E4" s="19"/>
      <c r="F4" s="19"/>
      <c r="G4" s="19"/>
      <c r="H4" s="19"/>
    </row>
    <row r="5" spans="1:8">
      <c r="A5" s="20" t="s">
        <v>186</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1" spans="1:8">
      <c r="A11" s="18" t="s">
        <v>187</v>
      </c>
      <c r="B11" s="18"/>
      <c r="C11" s="18"/>
      <c r="D11" s="18"/>
      <c r="E11" s="18"/>
      <c r="F11" s="18"/>
      <c r="G11" s="18"/>
      <c r="H11" s="18"/>
    </row>
    <row r="12" spans="1:8">
      <c r="A12" s="6" t="s">
        <v>53</v>
      </c>
      <c r="B12" s="6" t="s">
        <v>66</v>
      </c>
      <c r="C12" s="6" t="s">
        <v>188</v>
      </c>
    </row>
    <row r="13" spans="1:8">
      <c r="A13" s="7" t="s">
        <v>106</v>
      </c>
      <c r="B13" s="8"/>
      <c r="C13" s="5" t="s">
        <v>189</v>
      </c>
    </row>
    <row r="14" spans="1:8">
      <c r="A14" s="7" t="s">
        <v>177</v>
      </c>
      <c r="B14" s="8"/>
      <c r="C14" s="5" t="s">
        <v>190</v>
      </c>
    </row>
    <row r="15" spans="1:8">
      <c r="A15" s="7" t="s">
        <v>178</v>
      </c>
      <c r="B15" s="8"/>
      <c r="C15" s="5" t="s">
        <v>191</v>
      </c>
    </row>
    <row r="18" spans="1:8">
      <c r="A18" s="18" t="s">
        <v>192</v>
      </c>
      <c r="B18" s="18"/>
      <c r="C18" s="18"/>
      <c r="D18" s="18"/>
      <c r="E18" s="18"/>
      <c r="F18" s="18"/>
      <c r="G18" s="18"/>
      <c r="H18" s="18"/>
    </row>
    <row r="19" spans="1:8">
      <c r="A19" s="6" t="s">
        <v>68</v>
      </c>
      <c r="B19" s="6" t="s">
        <v>141</v>
      </c>
    </row>
    <row r="20" spans="1:8">
      <c r="A20" s="7" t="s">
        <v>193</v>
      </c>
      <c r="B20" s="12"/>
    </row>
    <row r="21" spans="1:8">
      <c r="A21" s="7" t="s">
        <v>194</v>
      </c>
      <c r="B21" s="12"/>
    </row>
    <row r="22" spans="1:8">
      <c r="A22" s="7" t="s">
        <v>195</v>
      </c>
      <c r="B22" s="12"/>
    </row>
    <row r="23" spans="1:8">
      <c r="A23" s="7" t="s">
        <v>196</v>
      </c>
      <c r="B23" s="12"/>
    </row>
    <row r="24" spans="1:8">
      <c r="A24" s="7" t="s">
        <v>197</v>
      </c>
      <c r="B24" s="12"/>
    </row>
    <row r="25" spans="1:8">
      <c r="A25" s="7" t="s">
        <v>198</v>
      </c>
      <c r="B25" s="12"/>
    </row>
    <row r="28" spans="1:8">
      <c r="A28" s="18" t="s">
        <v>199</v>
      </c>
      <c r="B28" s="18"/>
      <c r="C28" s="18"/>
      <c r="D28" s="18"/>
      <c r="E28" s="18"/>
      <c r="F28" s="18"/>
      <c r="G28" s="18"/>
      <c r="H28" s="18"/>
    </row>
    <row r="29" spans="1:8">
      <c r="A29" s="6" t="s">
        <v>200</v>
      </c>
      <c r="B29" s="6" t="s">
        <v>58</v>
      </c>
      <c r="C29" s="6" t="s">
        <v>201</v>
      </c>
      <c r="D29" s="6" t="s">
        <v>74</v>
      </c>
    </row>
    <row r="30" spans="1:8">
      <c r="A30" s="7" t="s">
        <v>202</v>
      </c>
      <c r="B30" s="7"/>
      <c r="C30" s="7"/>
      <c r="D30" s="7"/>
    </row>
    <row r="31" spans="1:8">
      <c r="A31" s="7" t="s">
        <v>203</v>
      </c>
      <c r="B31" s="7"/>
      <c r="C31" s="7"/>
      <c r="D31" s="7"/>
    </row>
    <row r="32" spans="1:8">
      <c r="A32" s="7" t="s">
        <v>204</v>
      </c>
      <c r="B32" s="7"/>
      <c r="C32" s="7"/>
      <c r="D32" s="7"/>
    </row>
    <row r="33" spans="1:4">
      <c r="A33" s="7" t="s">
        <v>205</v>
      </c>
      <c r="B33" s="7"/>
      <c r="C33" s="7"/>
      <c r="D33" s="7"/>
    </row>
  </sheetData>
  <mergeCells count="6">
    <mergeCell ref="A28:H28"/>
    <mergeCell ref="A1:H2"/>
    <mergeCell ref="A4:H4"/>
    <mergeCell ref="A5:H9"/>
    <mergeCell ref="A11:H11"/>
    <mergeCell ref="A18:H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1. Portada</vt:lpstr>
      <vt:lpstr>2. Caso empresarial</vt:lpstr>
      <vt:lpstr>3. Paso 1 - Estado Resultados</vt:lpstr>
      <vt:lpstr>4. Paso 2 - Identificar EBIT</vt:lpstr>
      <vt:lpstr>5. Paso 3 - NOPAT</vt:lpstr>
      <vt:lpstr>6. Paso 4 - Dep y Amort</vt:lpstr>
      <vt:lpstr>7. Paso 5 - CAPEX</vt:lpstr>
      <vt:lpstr>8. Paso 6 - Capital Trabajo</vt:lpstr>
      <vt:lpstr>9. Paso 7 - FCFF</vt:lpstr>
      <vt:lpstr>10. Paso 8 - Interpretación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Oyaque Mora Silvia Melinda</cp:lastModifiedBy>
  <dcterms:created xsi:type="dcterms:W3CDTF">2026-07-20T15:38:53Z</dcterms:created>
  <dcterms:modified xsi:type="dcterms:W3CDTF">2026-07-20T15:38:53Z</dcterms:modified>
</cp:coreProperties>
</file>